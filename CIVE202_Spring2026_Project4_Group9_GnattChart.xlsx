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mc:AlternateContent xmlns:mc="http://schemas.openxmlformats.org/markup-compatibility/2006">
    <mc:Choice Requires="x15">
      <x15ac:absPath xmlns:x15ac="http://schemas.microsoft.com/office/spreadsheetml/2010/11/ac" url="https://uofnebraska-my.sharepoint.com/personal/21413224_nebraska_edu/Documents/Desktop/CIVE202/project 4/"/>
    </mc:Choice>
  </mc:AlternateContent>
  <xr:revisionPtr revIDLastSave="0" documentId="8_{4AE41B70-3303-4BF2-88BF-DBF463BE3543}" xr6:coauthVersionLast="47" xr6:coauthVersionMax="47" xr10:uidLastSave="{00000000-0000-0000-0000-000000000000}"/>
  <bookViews>
    <workbookView xWindow="-110" yWindow="-110" windowWidth="25820" windowHeight="15500" xr2:uid="{00000000-000D-0000-FFFF-FFFF00000000}"/>
  </bookViews>
  <sheets>
    <sheet name="GanttChart" sheetId="9" r:id="rId1"/>
  </sheets>
  <definedNames>
    <definedName name="prevWBS" localSheetId="0">GanttChart!$A1048576</definedName>
    <definedName name="_xlnm.Print_Area" localSheetId="0">GanttChart!$A$1:$BN$27</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 i="9" l="1"/>
  <c r="F12" i="9"/>
  <c r="I12" i="9" s="1"/>
  <c r="F24" i="9"/>
  <c r="F19" i="9"/>
  <c r="F16" i="9"/>
  <c r="I23" i="9"/>
  <c r="F22" i="9"/>
  <c r="I13" i="9"/>
  <c r="F11" i="9"/>
  <c r="I11" i="9" s="1"/>
  <c r="F9" i="9"/>
  <c r="I9" i="9" s="1"/>
  <c r="F8" i="9"/>
  <c r="I8" i="9" s="1"/>
  <c r="F21" i="9"/>
  <c r="I21" i="9" s="1"/>
  <c r="F14" i="9"/>
  <c r="I14" i="9" s="1"/>
  <c r="K6" i="9"/>
  <c r="K4" i="9" s="1"/>
  <c r="F10" i="9"/>
  <c r="I10" i="9" s="1"/>
  <c r="A8" i="9"/>
  <c r="A9" i="9" s="1"/>
  <c r="A10" i="9" s="1"/>
  <c r="A11" i="9" s="1"/>
  <c r="F25" i="9"/>
  <c r="F18" i="9"/>
  <c r="A12" i="9" l="1"/>
  <c r="A13" i="9" s="1"/>
  <c r="A14" i="9" s="1"/>
  <c r="A15" i="9" s="1"/>
  <c r="A16" i="9" s="1"/>
  <c r="A17" i="9" s="1"/>
  <c r="A18" i="9" s="1"/>
  <c r="L6" i="9"/>
  <c r="M6" i="9" s="1"/>
  <c r="M7" i="9" s="1"/>
  <c r="K7" i="9"/>
  <c r="K5" i="9"/>
  <c r="N6" i="9" l="1"/>
  <c r="N7" i="9" s="1"/>
  <c r="L7" i="9"/>
  <c r="A19" i="9"/>
  <c r="A20" i="9" s="1"/>
  <c r="A21" i="9" s="1"/>
  <c r="A22" i="9" s="1"/>
  <c r="A23" i="9" s="1"/>
  <c r="O6" i="9" l="1"/>
  <c r="O7" i="9" s="1"/>
  <c r="A24" i="9"/>
  <c r="A25" i="9" s="1"/>
  <c r="A26" i="9" s="1"/>
  <c r="A27" i="9" s="1"/>
  <c r="P6" i="9" l="1"/>
  <c r="Q6" i="9" s="1"/>
  <c r="P7" i="9" l="1"/>
  <c r="R6" i="9"/>
  <c r="Q7" i="9"/>
  <c r="S6" i="9" l="1"/>
  <c r="R5" i="9"/>
  <c r="R4" i="9"/>
  <c r="R7" i="9"/>
  <c r="T6" i="9" l="1"/>
  <c r="S7" i="9"/>
  <c r="U6" i="9" l="1"/>
  <c r="T7" i="9"/>
  <c r="V6" i="9" l="1"/>
  <c r="U7" i="9"/>
  <c r="V7" i="9" l="1"/>
  <c r="W6" i="9"/>
  <c r="W7" i="9" l="1"/>
  <c r="X6" i="9"/>
  <c r="X7" i="9" l="1"/>
  <c r="Y6" i="9"/>
  <c r="Z6" i="9" l="1"/>
  <c r="Y5" i="9"/>
  <c r="Y4" i="9"/>
  <c r="Y7" i="9"/>
  <c r="Z7" i="9" l="1"/>
  <c r="AA6" i="9"/>
  <c r="AB6" i="9" l="1"/>
  <c r="AA7" i="9"/>
  <c r="AB7" i="9" l="1"/>
  <c r="AC6" i="9"/>
  <c r="AC7" i="9" l="1"/>
  <c r="AD6" i="9"/>
  <c r="AD7" i="9" l="1"/>
  <c r="AE6" i="9"/>
  <c r="AF6" i="9" l="1"/>
  <c r="AE7" i="9"/>
  <c r="AF7" i="9" l="1"/>
  <c r="AG6" i="9"/>
  <c r="AF5" i="9"/>
  <c r="AF4" i="9"/>
  <c r="AG7" i="9" l="1"/>
  <c r="AH6" i="9"/>
  <c r="AI6" i="9" l="1"/>
  <c r="AH7" i="9"/>
  <c r="AJ6" i="9" l="1"/>
  <c r="AI7" i="9"/>
  <c r="AK6" i="9" l="1"/>
  <c r="AJ7" i="9"/>
  <c r="AK7" i="9" l="1"/>
  <c r="AL6" i="9"/>
  <c r="AL7" i="9" l="1"/>
  <c r="AM6" i="9"/>
  <c r="AM4" i="9" l="1"/>
  <c r="AN6" i="9"/>
  <c r="AM7" i="9"/>
  <c r="AM5" i="9"/>
  <c r="AN7" i="9" l="1"/>
  <c r="AO6" i="9"/>
  <c r="AO7" i="9" l="1"/>
  <c r="AP6" i="9"/>
  <c r="AP7" i="9" l="1"/>
  <c r="AQ6" i="9"/>
  <c r="AR6" i="9" l="1"/>
  <c r="AQ7" i="9"/>
  <c r="AS6" i="9" l="1"/>
  <c r="AR7" i="9"/>
  <c r="AT6" i="9" l="1"/>
  <c r="AS7" i="9"/>
  <c r="AT7" i="9" l="1"/>
  <c r="AT5" i="9"/>
  <c r="AU6" i="9"/>
  <c r="AT4" i="9"/>
  <c r="AU7" i="9" l="1"/>
  <c r="AV6" i="9"/>
  <c r="AW6" i="9" l="1"/>
  <c r="AV7" i="9"/>
  <c r="AW7" i="9" l="1"/>
  <c r="AX6" i="9"/>
  <c r="AX7" i="9" l="1"/>
  <c r="AY6" i="9"/>
  <c r="AZ6" i="9" l="1"/>
  <c r="AY7" i="9"/>
  <c r="BA6" i="9" l="1"/>
  <c r="AZ7" i="9"/>
  <c r="BB6" i="9" l="1"/>
  <c r="BA5" i="9"/>
  <c r="BA7" i="9"/>
  <c r="BA4" i="9"/>
  <c r="BB7" i="9" l="1"/>
  <c r="BC6" i="9"/>
  <c r="BC7" i="9" l="1"/>
  <c r="BD6" i="9"/>
  <c r="BD7" i="9" l="1"/>
  <c r="BE6" i="9"/>
  <c r="BE7" i="9" l="1"/>
  <c r="BF6" i="9"/>
  <c r="BF7" i="9" l="1"/>
  <c r="BG6" i="9"/>
  <c r="BG7" i="9" l="1"/>
  <c r="BH6" i="9"/>
  <c r="BI6" i="9" l="1"/>
  <c r="BH4" i="9"/>
  <c r="BH7" i="9"/>
  <c r="BH5" i="9"/>
  <c r="BJ6" i="9" l="1"/>
  <c r="BI7" i="9"/>
  <c r="BK6" i="9" l="1"/>
  <c r="BJ7" i="9"/>
  <c r="BK7" i="9" l="1"/>
  <c r="BL6" i="9"/>
  <c r="BM6" i="9" l="1"/>
  <c r="BL7" i="9"/>
  <c r="BM7" i="9" l="1"/>
  <c r="BN6" i="9"/>
  <c r="BN7"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00000000-0006-0000-0000-000003000000}">
      <text>
        <r>
          <rPr>
            <b/>
            <sz val="9"/>
            <color indexed="81"/>
            <rFont val="Tahoma"/>
            <family val="2"/>
          </rPr>
          <t>Task Lead</t>
        </r>
        <r>
          <rPr>
            <sz val="9"/>
            <color indexed="81"/>
            <rFont val="Tahoma"/>
            <family val="2"/>
          </rPr>
          <t xml:space="preserve">
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00000000-0006-0000-0000-000006000000}">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00000000-0006-0000-0000-00000700000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<sst xmlns="http://schemas.openxmlformats.org/spreadsheetml/2006/main" count="51" uniqueCount="35">
  <si>
    <t xml:space="preserve">Project Start Date </t>
  </si>
  <si>
    <t xml:space="preserve">Display Week </t>
  </si>
  <si>
    <t>WBS</t>
  </si>
  <si>
    <t>TASK</t>
  </si>
  <si>
    <t>LEAD</t>
  </si>
  <si>
    <t>PREDECESSOR</t>
  </si>
  <si>
    <t>START</t>
  </si>
  <si>
    <t>END</t>
  </si>
  <si>
    <t>DAYS</t>
  </si>
  <si>
    <t>% DONE</t>
  </si>
  <si>
    <t>WORK DAYS</t>
  </si>
  <si>
    <t>Review Client Prompt</t>
  </si>
  <si>
    <t>Aaron</t>
  </si>
  <si>
    <t>Create Github Repository and export</t>
  </si>
  <si>
    <t>Research Topic</t>
  </si>
  <si>
    <t>Draft Gnatt Chart</t>
  </si>
  <si>
    <t>Clean data</t>
  </si>
  <si>
    <t>Draft Report</t>
  </si>
  <si>
    <t>Finalize Time sheet</t>
  </si>
  <si>
    <t>Finalize Report</t>
  </si>
  <si>
    <t>Submit deliverables</t>
  </si>
  <si>
    <t>Aggregate and Visualize</t>
  </si>
  <si>
    <t>Report and Finalize</t>
  </si>
  <si>
    <t>Finalize SOW</t>
  </si>
  <si>
    <t xml:space="preserve">Project End Date </t>
  </si>
  <si>
    <t>install packages</t>
  </si>
  <si>
    <t>annotate code and discussion</t>
  </si>
  <si>
    <t>Finalize deliverables and GitHub</t>
  </si>
  <si>
    <t>Define Function within code and create code</t>
  </si>
  <si>
    <t>Research, Draft,  and Gather data</t>
  </si>
  <si>
    <t>Draft SOW</t>
  </si>
  <si>
    <t>Draft Time Sheets</t>
  </si>
  <si>
    <t>Create Summary Tables and plots</t>
  </si>
  <si>
    <t>Project 4</t>
  </si>
  <si>
    <t>Aaron Cardinale, Cameron Skeels, Ava lavene, Tessa Soukup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</si>
</sst>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45" x14ac:knownFonts="1">
    <font>
      <sz val="10"/>
      <name val="Arial"/>
    </font>
    <font>
      <sz val="10"/>
      <name val="Arial"/>
      <family val="2"/>
    </font>
    <font>
      <u/>
      <sz val="10"/>
      <color indexed="12"/>
      <name val="Arial"/>
      <family val="2"/>
    </font>
    <font>
      <sz val="8"/>
      <name val="Arial"/>
      <family val="2"/>
    </font>
    <font>
      <u/>
      <sz val="8"/>
      <color indexed="12"/>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sz val="8"/>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sz val="16"/>
      <color theme="4" tint="-0.249977111117893"/>
      <name val="Arial"/>
      <family val="1"/>
      <scheme val="major"/>
    </font>
    <font>
      <i/>
      <sz val="8"/>
      <color theme="1" tint="0.34998626667073579"/>
      <name val="Arial"/>
      <family val="2"/>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s>
  <borders count="2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right/>
      <top/>
      <bottom style="thin">
        <color indexed="22"/>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s>
  <cellStyleXfs count="44">
    <xf numFmtId="0" fontId="0" fillId="0" borderId="0"/>
    <xf numFmtId="0" fontId="9" fillId="2"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8"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1" fillId="16" borderId="0" applyNumberFormat="0" applyBorder="0" applyAlignment="0" applyProtection="0"/>
    <xf numFmtId="0" fontId="12" fillId="17" borderId="1" applyNumberFormat="0" applyAlignment="0" applyProtection="0"/>
    <xf numFmtId="0" fontId="13" fillId="18" borderId="2" applyNumberFormat="0" applyAlignment="0" applyProtection="0"/>
    <xf numFmtId="0" fontId="14" fillId="0" borderId="0" applyNumberFormat="0" applyFill="0" applyBorder="0" applyAlignment="0" applyProtection="0"/>
    <xf numFmtId="0" fontId="15" fillId="19"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2" fillId="0" borderId="0" applyNumberFormat="0" applyFill="0" applyBorder="0" applyAlignment="0" applyProtection="0">
      <alignment vertical="top"/>
      <protection locked="0"/>
    </xf>
    <xf numFmtId="0" fontId="19" fillId="11" borderId="1" applyNumberFormat="0" applyAlignment="0" applyProtection="0"/>
    <xf numFmtId="0" fontId="20" fillId="0" borderId="6" applyNumberFormat="0" applyFill="0" applyAlignment="0" applyProtection="0"/>
    <xf numFmtId="0" fontId="21" fillId="5" borderId="0" applyNumberFormat="0" applyBorder="0" applyAlignment="0" applyProtection="0"/>
    <xf numFmtId="0" fontId="5" fillId="5" borderId="7" applyNumberFormat="0" applyFont="0" applyAlignment="0" applyProtection="0"/>
    <xf numFmtId="0" fontId="22" fillId="17" borderId="8" applyNumberFormat="0" applyAlignment="0" applyProtection="0"/>
    <xf numFmtId="9" fontId="1" fillId="0" borderId="0" applyFont="0" applyFill="0" applyBorder="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0" borderId="0" applyNumberFormat="0" applyFill="0" applyBorder="0" applyAlignment="0" applyProtection="0"/>
  </cellStyleXfs>
  <cellXfs count="73">
    <xf numFmtId="0" fontId="0" fillId="0" borderId="0" xfId="0"/>
    <xf numFmtId="0" fontId="0" fillId="20" borderId="0" xfId="0" applyFill="1"/>
    <xf numFmtId="0" fontId="7" fillId="0" borderId="0" xfId="0" applyFont="1" applyProtection="1">
      <protection locked="0"/>
    </xf>
    <xf numFmtId="0" fontId="2" fillId="0" borderId="0" xfId="34" applyAlignment="1" applyProtection="1">
      <alignment horizontal="left"/>
    </xf>
    <xf numFmtId="0" fontId="0" fillId="0" borderId="0" xfId="0" applyProtection="1">
      <protection locked="0"/>
    </xf>
    <xf numFmtId="0" fontId="4" fillId="20" borderId="0" xfId="34" applyNumberFormat="1" applyFont="1" applyFill="1" applyAlignment="1" applyProtection="1">
      <alignment horizontal="right"/>
      <protection locked="0"/>
    </xf>
    <xf numFmtId="0" fontId="6" fillId="0" borderId="0" xfId="0" applyFont="1" applyAlignment="1" applyProtection="1">
      <alignment vertical="center"/>
      <protection locked="0"/>
    </xf>
    <xf numFmtId="0" fontId="1" fillId="0" borderId="0" xfId="0" applyFont="1"/>
    <xf numFmtId="0" fontId="31" fillId="0" borderId="0" xfId="0" applyFont="1"/>
    <xf numFmtId="0" fontId="32" fillId="0" borderId="0" xfId="0" applyFont="1" applyAlignment="1" applyProtection="1">
      <alignment vertical="center"/>
      <protection locked="0"/>
    </xf>
    <xf numFmtId="0" fontId="30" fillId="21" borderId="10" xfId="0" applyFont="1" applyFill="1" applyBorder="1" applyAlignment="1">
      <alignment vertical="center"/>
    </xf>
    <xf numFmtId="0" fontId="30" fillId="0" borderId="10" xfId="0" applyFont="1" applyBorder="1" applyAlignment="1">
      <alignment horizontal="left" vertical="center"/>
    </xf>
    <xf numFmtId="0" fontId="30" fillId="0" borderId="10" xfId="0" applyFont="1" applyBorder="1" applyAlignment="1">
      <alignment vertical="center"/>
    </xf>
    <xf numFmtId="0" fontId="30" fillId="0" borderId="0" xfId="0" applyFont="1" applyAlignment="1">
      <alignment vertical="center"/>
    </xf>
    <xf numFmtId="0" fontId="36" fillId="0" borderId="0" xfId="0" applyFont="1" applyAlignment="1">
      <alignment vertical="center"/>
    </xf>
    <xf numFmtId="166" fontId="3" fillId="0" borderId="12" xfId="0" applyNumberFormat="1" applyFont="1" applyBorder="1" applyAlignment="1">
      <alignment horizontal="center" vertical="center" shrinkToFit="1"/>
    </xf>
    <xf numFmtId="166" fontId="3" fillId="0" borderId="14" xfId="0" applyNumberFormat="1" applyFont="1" applyBorder="1" applyAlignment="1">
      <alignment horizontal="center" vertical="center" shrinkToFit="1"/>
    </xf>
    <xf numFmtId="166" fontId="3" fillId="0" borderId="15" xfId="0" applyNumberFormat="1" applyFont="1" applyBorder="1" applyAlignment="1">
      <alignment horizontal="center" vertical="center" shrinkToFit="1"/>
    </xf>
    <xf numFmtId="1" fontId="39" fillId="0" borderId="11" xfId="0" applyNumberFormat="1" applyFont="1" applyBorder="1" applyAlignment="1">
      <alignment horizontal="center" vertical="center"/>
    </xf>
    <xf numFmtId="0" fontId="38" fillId="21" borderId="0" xfId="0" applyFont="1" applyFill="1" applyAlignment="1">
      <alignment vertical="center"/>
    </xf>
    <xf numFmtId="0" fontId="30" fillId="21" borderId="10" xfId="0" applyFont="1" applyFill="1" applyBorder="1" applyAlignment="1">
      <alignment horizontal="left" vertical="center"/>
    </xf>
    <xf numFmtId="0" fontId="40" fillId="0" borderId="0" xfId="0" applyFont="1"/>
    <xf numFmtId="0" fontId="40" fillId="0" borderId="0" xfId="0" applyFont="1" applyAlignment="1">
      <alignment horizontal="right" vertical="center"/>
    </xf>
    <xf numFmtId="0" fontId="41" fillId="0" borderId="16" xfId="0" applyFont="1" applyBorder="1" applyAlignment="1">
      <alignment horizontal="left" vertical="center"/>
    </xf>
    <xf numFmtId="0" fontId="41" fillId="0" borderId="16" xfId="0" applyFont="1" applyBorder="1" applyAlignment="1">
      <alignment horizontal="center" vertical="center" wrapText="1"/>
    </xf>
    <xf numFmtId="0" fontId="42" fillId="0" borderId="16" xfId="0" applyFont="1" applyBorder="1" applyAlignment="1">
      <alignment horizontal="center" vertical="center" wrapText="1"/>
    </xf>
    <xf numFmtId="0" fontId="41" fillId="0" borderId="16" xfId="0" applyFont="1" applyBorder="1" applyAlignment="1">
      <alignment horizontal="center" vertical="center"/>
    </xf>
    <xf numFmtId="0" fontId="30" fillId="0" borderId="17" xfId="0" applyFont="1" applyBorder="1" applyAlignment="1">
      <alignment horizontal="center" vertical="center" shrinkToFit="1"/>
    </xf>
    <xf numFmtId="0" fontId="30" fillId="0" borderId="18" xfId="0" applyFont="1" applyBorder="1" applyAlignment="1">
      <alignment horizontal="center" vertical="center" shrinkToFit="1"/>
    </xf>
    <xf numFmtId="0" fontId="30" fillId="0" borderId="19" xfId="0" applyFont="1" applyBorder="1" applyAlignment="1">
      <alignment horizontal="center" vertical="center" shrinkToFit="1"/>
    </xf>
    <xf numFmtId="0" fontId="43" fillId="0" borderId="0" xfId="0" applyFont="1" applyAlignment="1" applyProtection="1">
      <alignment vertical="center"/>
      <protection locked="0"/>
    </xf>
    <xf numFmtId="0" fontId="30" fillId="0" borderId="10" xfId="0" applyFont="1" applyBorder="1" applyAlignment="1">
      <alignment vertical="center" wrapText="1"/>
    </xf>
    <xf numFmtId="0" fontId="33" fillId="0" borderId="20" xfId="0" applyFont="1" applyBorder="1" applyAlignment="1" applyProtection="1">
      <alignment horizontal="center" vertical="center"/>
      <protection locked="0"/>
    </xf>
    <xf numFmtId="0" fontId="1" fillId="0" borderId="0" xfId="0" applyFont="1" applyAlignment="1">
      <alignment horizontal="right" vertical="center"/>
    </xf>
    <xf numFmtId="0" fontId="8" fillId="0" borderId="0" xfId="0" applyFont="1" applyProtection="1">
      <protection locked="0"/>
    </xf>
    <xf numFmtId="0" fontId="34" fillId="21" borderId="13" xfId="0" applyFont="1" applyFill="1" applyBorder="1" applyAlignment="1">
      <alignment horizontal="left" vertical="center" wrapText="1"/>
    </xf>
    <xf numFmtId="0" fontId="34" fillId="21" borderId="13" xfId="0" applyFont="1" applyFill="1" applyBorder="1" applyAlignment="1">
      <alignment vertical="center" wrapText="1"/>
    </xf>
    <xf numFmtId="0" fontId="30" fillId="21" borderId="13" xfId="0" applyFont="1" applyFill="1" applyBorder="1" applyAlignment="1">
      <alignment vertical="center" wrapText="1"/>
    </xf>
    <xf numFmtId="0" fontId="30" fillId="21" borderId="13" xfId="0" applyFont="1" applyFill="1" applyBorder="1" applyAlignment="1">
      <alignment horizontal="center" vertical="center" wrapText="1"/>
    </xf>
    <xf numFmtId="165" fontId="30" fillId="21" borderId="13" xfId="0" applyNumberFormat="1" applyFont="1" applyFill="1" applyBorder="1" applyAlignment="1">
      <alignment horizontal="right" vertical="center" wrapText="1"/>
    </xf>
    <xf numFmtId="165" fontId="30" fillId="21" borderId="13" xfId="0" applyNumberFormat="1" applyFont="1" applyFill="1" applyBorder="1" applyAlignment="1">
      <alignment horizontal="center" vertical="center" wrapText="1"/>
    </xf>
    <xf numFmtId="1" fontId="30" fillId="21" borderId="13" xfId="40" applyNumberFormat="1" applyFont="1" applyFill="1" applyBorder="1" applyAlignment="1" applyProtection="1">
      <alignment horizontal="center" vertical="center" wrapText="1"/>
    </xf>
    <xf numFmtId="9" fontId="30" fillId="21" borderId="13" xfId="40" applyFont="1" applyFill="1" applyBorder="1" applyAlignment="1" applyProtection="1">
      <alignment horizontal="center" vertical="center" wrapText="1"/>
    </xf>
    <xf numFmtId="1" fontId="30" fillId="21" borderId="13" xfId="0" applyNumberFormat="1" applyFont="1" applyFill="1" applyBorder="1" applyAlignment="1">
      <alignment horizontal="center" vertical="center" wrapText="1"/>
    </xf>
    <xf numFmtId="1" fontId="38" fillId="21" borderId="13" xfId="0" applyNumberFormat="1" applyFont="1" applyFill="1" applyBorder="1" applyAlignment="1">
      <alignment horizontal="center" vertical="center" wrapText="1"/>
    </xf>
    <xf numFmtId="0" fontId="30" fillId="21" borderId="13" xfId="0" applyFont="1" applyFill="1" applyBorder="1" applyAlignment="1">
      <alignment horizontal="left" vertical="center" wrapText="1"/>
    </xf>
    <xf numFmtId="0" fontId="30" fillId="21" borderId="10" xfId="0" applyFont="1" applyFill="1" applyBorder="1" applyAlignment="1">
      <alignment vertical="center" wrapText="1"/>
    </xf>
    <xf numFmtId="0" fontId="30" fillId="0" borderId="10" xfId="0" applyFont="1" applyBorder="1" applyAlignment="1">
      <alignment horizontal="left" vertical="center" wrapText="1"/>
    </xf>
    <xf numFmtId="0" fontId="35" fillId="0" borderId="11" xfId="0" applyFont="1" applyBorder="1" applyAlignment="1">
      <alignment horizontal="center" vertical="center" wrapText="1"/>
    </xf>
    <xf numFmtId="165" fontId="35" fillId="22" borderId="11" xfId="0" applyNumberFormat="1" applyFont="1" applyFill="1" applyBorder="1" applyAlignment="1">
      <alignment horizontal="center" vertical="center" wrapText="1"/>
    </xf>
    <xf numFmtId="165" fontId="35" fillId="0" borderId="11" xfId="0" applyNumberFormat="1" applyFont="1" applyBorder="1" applyAlignment="1">
      <alignment horizontal="center" vertical="center" wrapText="1"/>
    </xf>
    <xf numFmtId="1" fontId="35" fillId="23" borderId="11" xfId="0" applyNumberFormat="1" applyFont="1" applyFill="1" applyBorder="1" applyAlignment="1">
      <alignment horizontal="center" vertical="center" wrapText="1"/>
    </xf>
    <xf numFmtId="9" fontId="35" fillId="23" borderId="11" xfId="40" applyFont="1" applyFill="1" applyBorder="1" applyAlignment="1" applyProtection="1">
      <alignment horizontal="center" vertical="center" wrapText="1"/>
    </xf>
    <xf numFmtId="1" fontId="35" fillId="0" borderId="11" xfId="0" applyNumberFormat="1" applyFont="1" applyBorder="1" applyAlignment="1">
      <alignment horizontal="center" vertical="center" wrapText="1"/>
    </xf>
    <xf numFmtId="1" fontId="39" fillId="0" borderId="11" xfId="0" applyNumberFormat="1" applyFont="1" applyBorder="1" applyAlignment="1">
      <alignment horizontal="center" vertical="center" wrapText="1"/>
    </xf>
    <xf numFmtId="9" fontId="30" fillId="0" borderId="10" xfId="0" applyNumberFormat="1" applyFont="1" applyBorder="1" applyAlignment="1">
      <alignment horizontal="left" vertical="center" wrapText="1"/>
    </xf>
    <xf numFmtId="0" fontId="34" fillId="21" borderId="10" xfId="0" applyFont="1" applyFill="1" applyBorder="1" applyAlignment="1">
      <alignment horizontal="left" vertical="center" wrapText="1"/>
    </xf>
    <xf numFmtId="0" fontId="34" fillId="21" borderId="10" xfId="0" applyFont="1" applyFill="1" applyBorder="1" applyAlignment="1">
      <alignment vertical="center" wrapText="1"/>
    </xf>
    <xf numFmtId="0" fontId="30" fillId="21" borderId="10" xfId="0" applyFont="1" applyFill="1" applyBorder="1" applyAlignment="1">
      <alignment horizontal="center" vertical="center" wrapText="1"/>
    </xf>
    <xf numFmtId="165" fontId="30" fillId="21" borderId="10" xfId="0" applyNumberFormat="1" applyFont="1" applyFill="1" applyBorder="1" applyAlignment="1">
      <alignment horizontal="center" vertical="center" wrapText="1"/>
    </xf>
    <xf numFmtId="1" fontId="30" fillId="21" borderId="10" xfId="40" applyNumberFormat="1" applyFont="1" applyFill="1" applyBorder="1" applyAlignment="1" applyProtection="1">
      <alignment horizontal="center" vertical="center" wrapText="1"/>
    </xf>
    <xf numFmtId="9" fontId="30" fillId="21" borderId="10" xfId="40" applyFont="1" applyFill="1" applyBorder="1" applyAlignment="1" applyProtection="1">
      <alignment horizontal="center" vertical="center" wrapText="1"/>
    </xf>
    <xf numFmtId="1" fontId="30" fillId="21" borderId="10" xfId="0" applyNumberFormat="1" applyFont="1" applyFill="1" applyBorder="1" applyAlignment="1">
      <alignment horizontal="center" vertical="center" wrapText="1"/>
    </xf>
    <xf numFmtId="1" fontId="38" fillId="21" borderId="10" xfId="0" applyNumberFormat="1" applyFont="1" applyFill="1" applyBorder="1" applyAlignment="1">
      <alignment horizontal="center" vertical="center" wrapText="1"/>
    </xf>
    <xf numFmtId="0" fontId="30" fillId="21" borderId="10" xfId="0" applyFont="1" applyFill="1" applyBorder="1" applyAlignment="1">
      <alignment horizontal="left" vertical="center" wrapText="1"/>
    </xf>
    <xf numFmtId="0" fontId="44" fillId="0" borderId="0" xfId="34" applyFont="1" applyBorder="1" applyAlignment="1" applyProtection="1">
      <alignment horizontal="left" vertical="center"/>
    </xf>
    <xf numFmtId="164" fontId="33" fillId="0" borderId="20" xfId="0" applyNumberFormat="1" applyFont="1" applyBorder="1" applyAlignment="1" applyProtection="1">
      <alignment horizontal="center" vertical="center" shrinkToFit="1"/>
      <protection locked="0"/>
    </xf>
    <xf numFmtId="0" fontId="37" fillId="0" borderId="14" xfId="0" applyFont="1" applyBorder="1" applyAlignment="1">
      <alignment horizontal="center" vertical="center"/>
    </xf>
    <xf numFmtId="0" fontId="37" fillId="0" borderId="12" xfId="0" applyFont="1" applyBorder="1" applyAlignment="1">
      <alignment horizontal="center" vertical="center"/>
    </xf>
    <xf numFmtId="0" fontId="37" fillId="0" borderId="15" xfId="0" applyFont="1" applyBorder="1" applyAlignment="1">
      <alignment horizontal="center" vertical="center"/>
    </xf>
    <xf numFmtId="167" fontId="33" fillId="0" borderId="14" xfId="0" applyNumberFormat="1" applyFont="1" applyBorder="1" applyAlignment="1">
      <alignment horizontal="center" vertical="center"/>
    </xf>
    <xf numFmtId="167" fontId="33" fillId="0" borderId="12" xfId="0" applyNumberFormat="1" applyFont="1" applyBorder="1" applyAlignment="1">
      <alignment horizontal="center" vertical="center"/>
    </xf>
    <xf numFmtId="167" fontId="33" fillId="0" borderId="15" xfId="0" applyNumberFormat="1" applyFont="1" applyBorder="1" applyAlignment="1">
      <alignment horizontal="center" vertic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10">
    <dxf>
      <fill>
        <patternFill>
          <bgColor rgb="FF0070C0"/>
        </patternFill>
      </fill>
    </dxf>
    <dxf>
      <fill>
        <patternFill>
          <bgColor theme="0" tint="-0.499984740745262"/>
        </patternFill>
      </fill>
    </dxf>
    <dxf>
      <border>
        <left style="thin">
          <color rgb="FFC00000"/>
        </left>
        <right style="thin">
          <color rgb="FFC00000"/>
        </right>
        <vertical/>
        <horizontal/>
      </border>
    </dxf>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
      <fill>
        <patternFill>
          <bgColor rgb="FF0070C0"/>
        </patternFill>
      </fill>
    </dxf>
    <dxf>
      <fill>
        <patternFill>
          <bgColor theme="0" tint="-0.499984740745262"/>
        </patternFill>
      </fill>
    </dxf>
    <dxf>
      <border>
        <left style="thin">
          <color rgb="FFC00000"/>
        </left>
        <right style="thin">
          <color rgb="FFC00000"/>
        </right>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Scroll" dx="22" fmlaLink="$H$4" horiz="1" max="100" min="1" page="0"/>
</file>

<file path=xl/drawings/drawing1.xml><?xml version="1.0" encoding="utf-8"?>
<xdr:wsDr xmlns:xdr="http://schemas.openxmlformats.org/drawingml/2006/spreadsheetDrawing" xmlns:a="http://schemas.openxmlformats.org/drawingml/2006/main">
  <xdr:twoCellAnchor editAs="absolute">
    <xdr:from>
      <xdr:col>8</xdr:col>
      <xdr:colOff>266700</xdr:colOff>
      <xdr:row>5</xdr:row>
      <xdr:rowOff>142875</xdr:rowOff>
    </xdr:from>
    <xdr:to>
      <xdr:col>29</xdr:col>
      <xdr:colOff>57150</xdr:colOff>
      <xdr:row>9</xdr:row>
      <xdr:rowOff>143689</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9</xdr:col>
          <xdr:colOff>101600</xdr:colOff>
          <xdr:row>1</xdr:row>
          <xdr:rowOff>127000</xdr:rowOff>
        </xdr:from>
        <xdr:to>
          <xdr:col>27</xdr:col>
          <xdr:colOff>101600</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CI34"/>
  <sheetViews>
    <sheetView showGridLines="0" tabSelected="1" zoomScale="104" zoomScaleNormal="100" workbookViewId="0">
      <pane ySplit="7" topLeftCell="A8" activePane="bottomLeft" state="frozen"/>
      <selection pane="bottomLeft" activeCell="K5" sqref="K5:Q5"/>
    </sheetView>
  </sheetViews>
  <sheetFormatPr defaultColWidth="9.1796875" defaultRowHeight="12.5" x14ac:dyDescent="0.25"/>
  <cols>
    <col min="1" max="1" width="6.81640625" customWidth="1"/>
    <col min="2" max="2" width="19" customWidth="1"/>
    <col min="3" max="3" width="7.54296875" customWidth="1"/>
    <col min="4" max="4" width="6.81640625" hidden="1" customWidth="1"/>
    <col min="5" max="6" width="12" customWidth="1"/>
    <col min="7" max="7" width="6" customWidth="1"/>
    <col min="8" max="8" width="6.54296875" customWidth="1"/>
    <col min="9" max="9" width="6.453125" customWidth="1"/>
    <col min="10" max="10" width="1.81640625" customWidth="1"/>
    <col min="11" max="66" width="2.453125" customWidth="1"/>
  </cols>
  <sheetData>
    <row r="1" spans="1:66" ht="30" customHeight="1" x14ac:dyDescent="0.25">
      <c r="A1" s="30" t="s">
        <v>33</v>
      </c>
      <c r="B1" s="6"/>
      <c r="C1" s="6"/>
      <c r="D1" s="6"/>
      <c r="E1" s="6"/>
      <c r="F1" s="6"/>
      <c r="I1" s="33"/>
      <c r="K1" s="65"/>
      <c r="L1" s="65"/>
      <c r="M1" s="65"/>
      <c r="N1" s="65"/>
      <c r="O1" s="65"/>
      <c r="P1" s="65"/>
      <c r="Q1" s="65"/>
      <c r="R1" s="65"/>
      <c r="S1" s="65"/>
      <c r="T1" s="65"/>
      <c r="U1" s="65"/>
      <c r="V1" s="65"/>
      <c r="W1" s="65"/>
      <c r="X1" s="65"/>
      <c r="Y1" s="65"/>
      <c r="Z1" s="65"/>
      <c r="AA1" s="65"/>
      <c r="AB1" s="65"/>
      <c r="AC1" s="65"/>
      <c r="AD1" s="65"/>
      <c r="AE1" s="65"/>
    </row>
    <row r="2" spans="1:66" ht="18" customHeight="1" x14ac:dyDescent="0.25">
      <c r="A2" s="9" t="s">
        <v>34</v>
      </c>
      <c r="B2" s="2"/>
      <c r="C2" s="2"/>
      <c r="D2" s="5"/>
      <c r="E2" s="34"/>
      <c r="F2" s="34"/>
      <c r="H2" s="1"/>
    </row>
    <row r="3" spans="1:66" ht="14" x14ac:dyDescent="0.25">
      <c r="A3" s="9"/>
      <c r="B3" s="7"/>
      <c r="H3" s="1"/>
      <c r="K3" s="3"/>
      <c r="L3" s="3"/>
      <c r="M3" s="3"/>
      <c r="N3" s="3"/>
      <c r="O3" s="3"/>
      <c r="P3" s="3"/>
      <c r="Q3" s="3"/>
      <c r="R3" s="3"/>
      <c r="S3" s="3"/>
      <c r="T3" s="3"/>
      <c r="U3" s="3"/>
      <c r="V3" s="3"/>
      <c r="W3" s="3"/>
      <c r="X3" s="3"/>
      <c r="Y3" s="3"/>
      <c r="Z3" s="3"/>
      <c r="AA3" s="3"/>
    </row>
    <row r="4" spans="1:66" ht="17.25" customHeight="1" x14ac:dyDescent="0.25">
      <c r="A4" s="21"/>
      <c r="B4" s="22" t="s">
        <v>0</v>
      </c>
      <c r="C4" s="66">
        <v>46115</v>
      </c>
      <c r="D4" s="66"/>
      <c r="E4" s="66"/>
      <c r="F4" s="21"/>
      <c r="G4" s="22" t="s">
        <v>1</v>
      </c>
      <c r="H4" s="32">
        <v>1</v>
      </c>
      <c r="I4" s="7"/>
      <c r="J4" s="8"/>
      <c r="K4" s="67" t="str">
        <f>"Week "&amp;(K6-($C$4-WEEKDAY($C$4,1)+2))/7+1</f>
        <v>Week 1</v>
      </c>
      <c r="L4" s="68"/>
      <c r="M4" s="68"/>
      <c r="N4" s="68"/>
      <c r="O4" s="68"/>
      <c r="P4" s="68"/>
      <c r="Q4" s="69"/>
      <c r="R4" s="67" t="str">
        <f>"Week "&amp;(R6-($C$4-WEEKDAY($C$4,1)+2))/7+1</f>
        <v>Week 2</v>
      </c>
      <c r="S4" s="68"/>
      <c r="T4" s="68"/>
      <c r="U4" s="68"/>
      <c r="V4" s="68"/>
      <c r="W4" s="68"/>
      <c r="X4" s="69"/>
      <c r="Y4" s="67" t="str">
        <f>"Week "&amp;(Y6-($C$4-WEEKDAY($C$4,1)+2))/7+1</f>
        <v>Week 3</v>
      </c>
      <c r="Z4" s="68"/>
      <c r="AA4" s="68"/>
      <c r="AB4" s="68"/>
      <c r="AC4" s="68"/>
      <c r="AD4" s="68"/>
      <c r="AE4" s="69"/>
      <c r="AF4" s="67" t="str">
        <f>"Week "&amp;(AF6-($C$4-WEEKDAY($C$4,1)+2))/7+1</f>
        <v>Week 4</v>
      </c>
      <c r="AG4" s="68"/>
      <c r="AH4" s="68"/>
      <c r="AI4" s="68"/>
      <c r="AJ4" s="68"/>
      <c r="AK4" s="68"/>
      <c r="AL4" s="69"/>
      <c r="AM4" s="67" t="str">
        <f>"Week "&amp;(AM6-($C$4-WEEKDAY($C$4,1)+2))/7+1</f>
        <v>Week 5</v>
      </c>
      <c r="AN4" s="68"/>
      <c r="AO4" s="68"/>
      <c r="AP4" s="68"/>
      <c r="AQ4" s="68"/>
      <c r="AR4" s="68"/>
      <c r="AS4" s="69"/>
      <c r="AT4" s="67" t="str">
        <f>"Week "&amp;(AT6-($C$4-WEEKDAY($C$4,1)+2))/7+1</f>
        <v>Week 6</v>
      </c>
      <c r="AU4" s="68"/>
      <c r="AV4" s="68"/>
      <c r="AW4" s="68"/>
      <c r="AX4" s="68"/>
      <c r="AY4" s="68"/>
      <c r="AZ4" s="69"/>
      <c r="BA4" s="67" t="str">
        <f>"Week "&amp;(BA6-($C$4-WEEKDAY($C$4,1)+2))/7+1</f>
        <v>Week 7</v>
      </c>
      <c r="BB4" s="68"/>
      <c r="BC4" s="68"/>
      <c r="BD4" s="68"/>
      <c r="BE4" s="68"/>
      <c r="BF4" s="68"/>
      <c r="BG4" s="69"/>
      <c r="BH4" s="67" t="str">
        <f>"Week "&amp;(BH6-($C$4-WEEKDAY($C$4,1)+2))/7+1</f>
        <v>Week 8</v>
      </c>
      <c r="BI4" s="68"/>
      <c r="BJ4" s="68"/>
      <c r="BK4" s="68"/>
      <c r="BL4" s="68"/>
      <c r="BM4" s="68"/>
      <c r="BN4" s="69"/>
    </row>
    <row r="5" spans="1:66" ht="17.25" customHeight="1" x14ac:dyDescent="0.25">
      <c r="A5" s="21"/>
      <c r="B5" s="22" t="s">
        <v>24</v>
      </c>
      <c r="C5" s="66">
        <v>46133</v>
      </c>
      <c r="D5" s="66"/>
      <c r="E5" s="66"/>
      <c r="F5" s="21"/>
      <c r="G5" s="21"/>
      <c r="H5" s="21"/>
      <c r="I5" s="21"/>
      <c r="J5" s="8"/>
      <c r="K5" s="70">
        <f>K6</f>
        <v>46111</v>
      </c>
      <c r="L5" s="71"/>
      <c r="M5" s="71"/>
      <c r="N5" s="71"/>
      <c r="O5" s="71"/>
      <c r="P5" s="71"/>
      <c r="Q5" s="72"/>
      <c r="R5" s="70">
        <f>R6</f>
        <v>46118</v>
      </c>
      <c r="S5" s="71"/>
      <c r="T5" s="71"/>
      <c r="U5" s="71"/>
      <c r="V5" s="71"/>
      <c r="W5" s="71"/>
      <c r="X5" s="72"/>
      <c r="Y5" s="70">
        <f>Y6</f>
        <v>46125</v>
      </c>
      <c r="Z5" s="71"/>
      <c r="AA5" s="71"/>
      <c r="AB5" s="71"/>
      <c r="AC5" s="71"/>
      <c r="AD5" s="71"/>
      <c r="AE5" s="72"/>
      <c r="AF5" s="70">
        <f>AF6</f>
        <v>46132</v>
      </c>
      <c r="AG5" s="71"/>
      <c r="AH5" s="71"/>
      <c r="AI5" s="71"/>
      <c r="AJ5" s="71"/>
      <c r="AK5" s="71"/>
      <c r="AL5" s="72"/>
      <c r="AM5" s="70">
        <f>AM6</f>
        <v>46139</v>
      </c>
      <c r="AN5" s="71"/>
      <c r="AO5" s="71"/>
      <c r="AP5" s="71"/>
      <c r="AQ5" s="71"/>
      <c r="AR5" s="71"/>
      <c r="AS5" s="72"/>
      <c r="AT5" s="70">
        <f>AT6</f>
        <v>46146</v>
      </c>
      <c r="AU5" s="71"/>
      <c r="AV5" s="71"/>
      <c r="AW5" s="71"/>
      <c r="AX5" s="71"/>
      <c r="AY5" s="71"/>
      <c r="AZ5" s="72"/>
      <c r="BA5" s="70">
        <f>BA6</f>
        <v>46153</v>
      </c>
      <c r="BB5" s="71"/>
      <c r="BC5" s="71"/>
      <c r="BD5" s="71"/>
      <c r="BE5" s="71"/>
      <c r="BF5" s="71"/>
      <c r="BG5" s="72"/>
      <c r="BH5" s="70">
        <f>BH6</f>
        <v>46160</v>
      </c>
      <c r="BI5" s="71"/>
      <c r="BJ5" s="71"/>
      <c r="BK5" s="71"/>
      <c r="BL5" s="71"/>
      <c r="BM5" s="71"/>
      <c r="BN5" s="72"/>
    </row>
    <row r="6" spans="1:66" x14ac:dyDescent="0.25">
      <c r="A6" s="8"/>
      <c r="B6" s="8"/>
      <c r="C6" s="8"/>
      <c r="D6" s="8"/>
      <c r="E6" s="8"/>
      <c r="F6" s="8"/>
      <c r="G6" s="8"/>
      <c r="H6" s="8"/>
      <c r="I6" s="8"/>
      <c r="J6" s="8"/>
      <c r="K6" s="16">
        <f>C4-WEEKDAY(C4,1)+2+7*(H4-1)</f>
        <v>46111</v>
      </c>
      <c r="L6" s="15">
        <f t="shared" ref="L6:AQ6" si="0">K6+1</f>
        <v>46112</v>
      </c>
      <c r="M6" s="15">
        <f t="shared" si="0"/>
        <v>46113</v>
      </c>
      <c r="N6" s="15">
        <f t="shared" si="0"/>
        <v>46114</v>
      </c>
      <c r="O6" s="15">
        <f t="shared" si="0"/>
        <v>46115</v>
      </c>
      <c r="P6" s="15">
        <f t="shared" si="0"/>
        <v>46116</v>
      </c>
      <c r="Q6" s="17">
        <f t="shared" si="0"/>
        <v>46117</v>
      </c>
      <c r="R6" s="16">
        <f t="shared" si="0"/>
        <v>46118</v>
      </c>
      <c r="S6" s="15">
        <f t="shared" si="0"/>
        <v>46119</v>
      </c>
      <c r="T6" s="15">
        <f t="shared" si="0"/>
        <v>46120</v>
      </c>
      <c r="U6" s="15">
        <f t="shared" si="0"/>
        <v>46121</v>
      </c>
      <c r="V6" s="15">
        <f t="shared" si="0"/>
        <v>46122</v>
      </c>
      <c r="W6" s="15">
        <f t="shared" si="0"/>
        <v>46123</v>
      </c>
      <c r="X6" s="17">
        <f t="shared" si="0"/>
        <v>46124</v>
      </c>
      <c r="Y6" s="16">
        <f t="shared" si="0"/>
        <v>46125</v>
      </c>
      <c r="Z6" s="15">
        <f t="shared" si="0"/>
        <v>46126</v>
      </c>
      <c r="AA6" s="15">
        <f t="shared" si="0"/>
        <v>46127</v>
      </c>
      <c r="AB6" s="15">
        <f t="shared" si="0"/>
        <v>46128</v>
      </c>
      <c r="AC6" s="15">
        <f t="shared" si="0"/>
        <v>46129</v>
      </c>
      <c r="AD6" s="15">
        <f t="shared" si="0"/>
        <v>46130</v>
      </c>
      <c r="AE6" s="17">
        <f t="shared" si="0"/>
        <v>46131</v>
      </c>
      <c r="AF6" s="16">
        <f t="shared" si="0"/>
        <v>46132</v>
      </c>
      <c r="AG6" s="15">
        <f t="shared" si="0"/>
        <v>46133</v>
      </c>
      <c r="AH6" s="15">
        <f t="shared" si="0"/>
        <v>46134</v>
      </c>
      <c r="AI6" s="15">
        <f t="shared" si="0"/>
        <v>46135</v>
      </c>
      <c r="AJ6" s="15">
        <f t="shared" si="0"/>
        <v>46136</v>
      </c>
      <c r="AK6" s="15">
        <f t="shared" si="0"/>
        <v>46137</v>
      </c>
      <c r="AL6" s="17">
        <f t="shared" si="0"/>
        <v>46138</v>
      </c>
      <c r="AM6" s="16">
        <f t="shared" si="0"/>
        <v>46139</v>
      </c>
      <c r="AN6" s="15">
        <f t="shared" si="0"/>
        <v>46140</v>
      </c>
      <c r="AO6" s="15">
        <f t="shared" si="0"/>
        <v>46141</v>
      </c>
      <c r="AP6" s="15">
        <f t="shared" si="0"/>
        <v>46142</v>
      </c>
      <c r="AQ6" s="15">
        <f t="shared" si="0"/>
        <v>46143</v>
      </c>
      <c r="AR6" s="15">
        <f t="shared" ref="AR6:BN6" si="1">AQ6+1</f>
        <v>46144</v>
      </c>
      <c r="AS6" s="17">
        <f t="shared" si="1"/>
        <v>46145</v>
      </c>
      <c r="AT6" s="16">
        <f t="shared" si="1"/>
        <v>46146</v>
      </c>
      <c r="AU6" s="15">
        <f t="shared" si="1"/>
        <v>46147</v>
      </c>
      <c r="AV6" s="15">
        <f t="shared" si="1"/>
        <v>46148</v>
      </c>
      <c r="AW6" s="15">
        <f t="shared" si="1"/>
        <v>46149</v>
      </c>
      <c r="AX6" s="15">
        <f t="shared" si="1"/>
        <v>46150</v>
      </c>
      <c r="AY6" s="15">
        <f t="shared" si="1"/>
        <v>46151</v>
      </c>
      <c r="AZ6" s="17">
        <f t="shared" si="1"/>
        <v>46152</v>
      </c>
      <c r="BA6" s="16">
        <f t="shared" si="1"/>
        <v>46153</v>
      </c>
      <c r="BB6" s="15">
        <f t="shared" si="1"/>
        <v>46154</v>
      </c>
      <c r="BC6" s="15">
        <f t="shared" si="1"/>
        <v>46155</v>
      </c>
      <c r="BD6" s="15">
        <f t="shared" si="1"/>
        <v>46156</v>
      </c>
      <c r="BE6" s="15">
        <f t="shared" si="1"/>
        <v>46157</v>
      </c>
      <c r="BF6" s="15">
        <f t="shared" si="1"/>
        <v>46158</v>
      </c>
      <c r="BG6" s="17">
        <f t="shared" si="1"/>
        <v>46159</v>
      </c>
      <c r="BH6" s="16">
        <f t="shared" si="1"/>
        <v>46160</v>
      </c>
      <c r="BI6" s="15">
        <f t="shared" si="1"/>
        <v>46161</v>
      </c>
      <c r="BJ6" s="15">
        <f t="shared" si="1"/>
        <v>46162</v>
      </c>
      <c r="BK6" s="15">
        <f t="shared" si="1"/>
        <v>46163</v>
      </c>
      <c r="BL6" s="15">
        <f t="shared" si="1"/>
        <v>46164</v>
      </c>
      <c r="BM6" s="15">
        <f t="shared" si="1"/>
        <v>46165</v>
      </c>
      <c r="BN6" s="17">
        <f t="shared" si="1"/>
        <v>46166</v>
      </c>
    </row>
    <row r="7" spans="1:66" s="7" customFormat="1" ht="32" thickBot="1" x14ac:dyDescent="0.3">
      <c r="A7" s="23" t="s">
        <v>2</v>
      </c>
      <c r="B7" s="23" t="s">
        <v>3</v>
      </c>
      <c r="C7" s="24" t="s">
        <v>4</v>
      </c>
      <c r="D7" s="25" t="s">
        <v>5</v>
      </c>
      <c r="E7" s="26" t="s">
        <v>6</v>
      </c>
      <c r="F7" s="26" t="s">
        <v>7</v>
      </c>
      <c r="G7" s="24" t="s">
        <v>8</v>
      </c>
      <c r="H7" s="24" t="s">
        <v>9</v>
      </c>
      <c r="I7" s="24" t="s">
        <v>10</v>
      </c>
      <c r="J7" s="24"/>
      <c r="K7" s="27" t="str">
        <f t="shared" ref="K7:AP7" si="2">CHOOSE(WEEKDAY(K6,1),"S","M","T","W","T","F","S")</f>
        <v>M</v>
      </c>
      <c r="L7" s="28" t="str">
        <f t="shared" si="2"/>
        <v>T</v>
      </c>
      <c r="M7" s="28" t="str">
        <f t="shared" si="2"/>
        <v>W</v>
      </c>
      <c r="N7" s="28" t="str">
        <f t="shared" si="2"/>
        <v>T</v>
      </c>
      <c r="O7" s="28" t="str">
        <f t="shared" si="2"/>
        <v>F</v>
      </c>
      <c r="P7" s="28" t="str">
        <f t="shared" si="2"/>
        <v>S</v>
      </c>
      <c r="Q7" s="29" t="str">
        <f t="shared" si="2"/>
        <v>S</v>
      </c>
      <c r="R7" s="27" t="str">
        <f t="shared" si="2"/>
        <v>M</v>
      </c>
      <c r="S7" s="28" t="str">
        <f t="shared" si="2"/>
        <v>T</v>
      </c>
      <c r="T7" s="28" t="str">
        <f t="shared" si="2"/>
        <v>W</v>
      </c>
      <c r="U7" s="28" t="str">
        <f t="shared" si="2"/>
        <v>T</v>
      </c>
      <c r="V7" s="28" t="str">
        <f t="shared" si="2"/>
        <v>F</v>
      </c>
      <c r="W7" s="28" t="str">
        <f t="shared" si="2"/>
        <v>S</v>
      </c>
      <c r="X7" s="29" t="str">
        <f t="shared" si="2"/>
        <v>S</v>
      </c>
      <c r="Y7" s="27" t="str">
        <f t="shared" si="2"/>
        <v>M</v>
      </c>
      <c r="Z7" s="28" t="str">
        <f t="shared" si="2"/>
        <v>T</v>
      </c>
      <c r="AA7" s="28" t="str">
        <f t="shared" si="2"/>
        <v>W</v>
      </c>
      <c r="AB7" s="28" t="str">
        <f t="shared" si="2"/>
        <v>T</v>
      </c>
      <c r="AC7" s="28" t="str">
        <f t="shared" si="2"/>
        <v>F</v>
      </c>
      <c r="AD7" s="28" t="str">
        <f t="shared" si="2"/>
        <v>S</v>
      </c>
      <c r="AE7" s="29" t="str">
        <f t="shared" si="2"/>
        <v>S</v>
      </c>
      <c r="AF7" s="27" t="str">
        <f t="shared" si="2"/>
        <v>M</v>
      </c>
      <c r="AG7" s="28" t="str">
        <f t="shared" si="2"/>
        <v>T</v>
      </c>
      <c r="AH7" s="28" t="str">
        <f t="shared" si="2"/>
        <v>W</v>
      </c>
      <c r="AI7" s="28" t="str">
        <f t="shared" si="2"/>
        <v>T</v>
      </c>
      <c r="AJ7" s="28" t="str">
        <f t="shared" si="2"/>
        <v>F</v>
      </c>
      <c r="AK7" s="28" t="str">
        <f t="shared" si="2"/>
        <v>S</v>
      </c>
      <c r="AL7" s="29" t="str">
        <f t="shared" si="2"/>
        <v>S</v>
      </c>
      <c r="AM7" s="27" t="str">
        <f t="shared" si="2"/>
        <v>M</v>
      </c>
      <c r="AN7" s="28" t="str">
        <f t="shared" si="2"/>
        <v>T</v>
      </c>
      <c r="AO7" s="28" t="str">
        <f t="shared" si="2"/>
        <v>W</v>
      </c>
      <c r="AP7" s="28" t="str">
        <f t="shared" si="2"/>
        <v>T</v>
      </c>
      <c r="AQ7" s="28" t="str">
        <f t="shared" ref="AQ7:BN7" si="3">CHOOSE(WEEKDAY(AQ6,1),"S","M","T","W","T","F","S")</f>
        <v>F</v>
      </c>
      <c r="AR7" s="28" t="str">
        <f t="shared" si="3"/>
        <v>S</v>
      </c>
      <c r="AS7" s="29" t="str">
        <f t="shared" si="3"/>
        <v>S</v>
      </c>
      <c r="AT7" s="27" t="str">
        <f t="shared" si="3"/>
        <v>M</v>
      </c>
      <c r="AU7" s="28" t="str">
        <f t="shared" si="3"/>
        <v>T</v>
      </c>
      <c r="AV7" s="28" t="str">
        <f t="shared" si="3"/>
        <v>W</v>
      </c>
      <c r="AW7" s="28" t="str">
        <f t="shared" si="3"/>
        <v>T</v>
      </c>
      <c r="AX7" s="28" t="str">
        <f t="shared" si="3"/>
        <v>F</v>
      </c>
      <c r="AY7" s="28" t="str">
        <f t="shared" si="3"/>
        <v>S</v>
      </c>
      <c r="AZ7" s="29" t="str">
        <f t="shared" si="3"/>
        <v>S</v>
      </c>
      <c r="BA7" s="27" t="str">
        <f t="shared" si="3"/>
        <v>M</v>
      </c>
      <c r="BB7" s="28" t="str">
        <f t="shared" si="3"/>
        <v>T</v>
      </c>
      <c r="BC7" s="28" t="str">
        <f t="shared" si="3"/>
        <v>W</v>
      </c>
      <c r="BD7" s="28" t="str">
        <f t="shared" si="3"/>
        <v>T</v>
      </c>
      <c r="BE7" s="28" t="str">
        <f t="shared" si="3"/>
        <v>F</v>
      </c>
      <c r="BF7" s="28" t="str">
        <f t="shared" si="3"/>
        <v>S</v>
      </c>
      <c r="BG7" s="29" t="str">
        <f t="shared" si="3"/>
        <v>S</v>
      </c>
      <c r="BH7" s="27" t="str">
        <f t="shared" si="3"/>
        <v>M</v>
      </c>
      <c r="BI7" s="28" t="str">
        <f t="shared" si="3"/>
        <v>T</v>
      </c>
      <c r="BJ7" s="28" t="str">
        <f t="shared" si="3"/>
        <v>W</v>
      </c>
      <c r="BK7" s="28" t="str">
        <f t="shared" si="3"/>
        <v>T</v>
      </c>
      <c r="BL7" s="28" t="str">
        <f t="shared" si="3"/>
        <v>F</v>
      </c>
      <c r="BM7" s="28" t="str">
        <f t="shared" si="3"/>
        <v>S</v>
      </c>
      <c r="BN7" s="29" t="str">
        <f t="shared" si="3"/>
        <v>S</v>
      </c>
    </row>
    <row r="8" spans="1:66" s="46" customFormat="1" ht="28" x14ac:dyDescent="0.25">
      <c r="A8" s="35" t="str">
        <f>IF(ISERROR(VALUE(SUBSTITUTE(prevWBS,".",""))),"1",IF(ISERROR(FIND("`",SUBSTITUTE(prevWBS,".","`",1))),TEXT(VALUE(prevWBS)+1,"#"),TEXT(VALUE(LEFT(prevWBS,FIND("`",SUBSTITUTE(prevWBS,".","`",1))-1))+1,"#")))</f>
        <v>1</v>
      </c>
      <c r="B8" s="36" t="s">
        <v>29</v>
      </c>
      <c r="C8" s="37"/>
      <c r="D8" s="38"/>
      <c r="E8" s="39"/>
      <c r="F8" s="40" t="str">
        <f>IF(ISBLANK(E8)," - ",IF(G8=0,E8,E8+G8-1))</f>
        <v xml:space="preserve"> - </v>
      </c>
      <c r="G8" s="41"/>
      <c r="H8" s="42"/>
      <c r="I8" s="43" t="str">
        <f t="shared" ref="I8:I23" si="4">IF(OR(F8=0,E8=0)," - ",NETWORKDAYS(E8,F8))</f>
        <v xml:space="preserve"> - </v>
      </c>
      <c r="J8" s="44"/>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c r="BM8" s="45"/>
      <c r="BN8" s="45"/>
    </row>
    <row r="9" spans="1:66" s="31" customFormat="1" ht="17.5" x14ac:dyDescent="0.25">
      <c r="A9" s="47" t="str">
        <f t="shared" ref="A9:A13"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31" t="s">
        <v>11</v>
      </c>
      <c r="C9" s="31" t="s">
        <v>12</v>
      </c>
      <c r="D9" s="48"/>
      <c r="E9" s="49">
        <v>46115</v>
      </c>
      <c r="F9" s="50">
        <f>IF(ISBLANK(E9)," - ",IF(G9=0,E9,E9+G9-1))</f>
        <v>46116</v>
      </c>
      <c r="G9" s="51">
        <v>2</v>
      </c>
      <c r="H9" s="52">
        <v>0</v>
      </c>
      <c r="I9" s="53">
        <f t="shared" si="4"/>
        <v>1</v>
      </c>
      <c r="J9" s="54"/>
      <c r="K9" s="47"/>
      <c r="L9" s="47"/>
      <c r="M9" s="47"/>
      <c r="N9" s="47"/>
      <c r="O9" s="47"/>
      <c r="P9" s="47"/>
      <c r="Q9" s="47"/>
      <c r="R9" s="47"/>
      <c r="S9" s="47"/>
      <c r="T9" s="47"/>
      <c r="U9" s="47"/>
      <c r="V9" s="47"/>
      <c r="W9" s="47"/>
      <c r="X9" s="47"/>
      <c r="Y9" s="47"/>
      <c r="Z9" s="47"/>
      <c r="AA9" s="47"/>
      <c r="AB9" s="47"/>
      <c r="AC9" s="47"/>
      <c r="AD9" s="47"/>
      <c r="AE9" s="47"/>
      <c r="AF9" s="47"/>
      <c r="AG9" s="47"/>
      <c r="AH9" s="47"/>
      <c r="AI9" s="47"/>
      <c r="AJ9" s="47"/>
      <c r="AK9" s="47"/>
      <c r="AL9" s="47"/>
      <c r="AM9" s="47"/>
      <c r="AN9" s="47"/>
      <c r="AO9" s="47"/>
      <c r="AP9" s="47"/>
      <c r="AQ9" s="47"/>
      <c r="AR9" s="47"/>
      <c r="AS9" s="47"/>
      <c r="AT9" s="47"/>
      <c r="AU9" s="47"/>
      <c r="AV9" s="47"/>
      <c r="AW9" s="47"/>
      <c r="AX9" s="47"/>
      <c r="AY9" s="47"/>
      <c r="AZ9" s="47"/>
      <c r="BA9" s="47"/>
      <c r="BB9" s="47"/>
      <c r="BC9" s="47"/>
      <c r="BD9" s="47"/>
      <c r="BE9" s="47"/>
      <c r="BF9" s="47"/>
      <c r="BG9" s="47"/>
      <c r="BH9" s="47"/>
      <c r="BI9" s="47"/>
      <c r="BJ9" s="47"/>
      <c r="BK9" s="47"/>
      <c r="BL9" s="47"/>
      <c r="BM9" s="47"/>
      <c r="BN9" s="47"/>
    </row>
    <row r="10" spans="1:66" s="31" customFormat="1" ht="17.5" x14ac:dyDescent="0.25">
      <c r="A10" s="47" t="str">
        <f t="shared" si="5"/>
        <v>1.2</v>
      </c>
      <c r="B10" s="31" t="s">
        <v>14</v>
      </c>
      <c r="C10" s="31" t="s">
        <v>12</v>
      </c>
      <c r="D10" s="48"/>
      <c r="E10" s="49">
        <v>46118</v>
      </c>
      <c r="F10" s="50">
        <f t="shared" ref="F10:F25" si="6">IF(ISBLANK(E10)," - ",IF(G10=0,E10,E10+G10-1))</f>
        <v>46119</v>
      </c>
      <c r="G10" s="51">
        <v>2</v>
      </c>
      <c r="H10" s="52">
        <v>0</v>
      </c>
      <c r="I10" s="53">
        <f t="shared" si="4"/>
        <v>2</v>
      </c>
      <c r="J10" s="54"/>
      <c r="K10" s="47"/>
      <c r="L10" s="47"/>
      <c r="M10" s="47"/>
      <c r="N10" s="47"/>
      <c r="O10" s="47"/>
      <c r="P10" s="47"/>
      <c r="Q10" s="47"/>
      <c r="R10" s="47"/>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c r="AV10" s="47"/>
      <c r="AW10" s="47"/>
      <c r="AX10" s="47"/>
      <c r="AY10" s="47"/>
      <c r="AZ10" s="47"/>
      <c r="BA10" s="47"/>
      <c r="BB10" s="47"/>
      <c r="BC10" s="47"/>
      <c r="BD10" s="47"/>
      <c r="BE10" s="47"/>
      <c r="BF10" s="47"/>
      <c r="BG10" s="47"/>
      <c r="BH10" s="47"/>
      <c r="BI10" s="47"/>
      <c r="BJ10" s="47"/>
      <c r="BK10" s="47"/>
      <c r="BL10" s="47"/>
      <c r="BM10" s="47"/>
      <c r="BN10" s="47"/>
    </row>
    <row r="11" spans="1:66" s="31" customFormat="1" ht="17.5" x14ac:dyDescent="0.25">
      <c r="A11" s="47" t="str">
        <f t="shared" si="5"/>
        <v>1.3</v>
      </c>
      <c r="B11" s="31" t="s">
        <v>15</v>
      </c>
      <c r="C11" s="31" t="s">
        <v>12</v>
      </c>
      <c r="D11" s="48"/>
      <c r="E11" s="49">
        <v>46120</v>
      </c>
      <c r="F11" s="50">
        <f>IF(ISBLANK(E11)," - ",IF(G11=0,E11,E11+G11-1))</f>
        <v>46121</v>
      </c>
      <c r="G11" s="51">
        <v>2</v>
      </c>
      <c r="H11" s="52">
        <v>0</v>
      </c>
      <c r="I11" s="53">
        <f t="shared" si="4"/>
        <v>2</v>
      </c>
      <c r="J11" s="54"/>
      <c r="K11" s="47"/>
      <c r="L11" s="47"/>
      <c r="M11" s="55"/>
      <c r="N11" s="47"/>
      <c r="O11" s="47"/>
      <c r="P11" s="47"/>
      <c r="Q11" s="47"/>
      <c r="R11" s="47"/>
      <c r="S11" s="47"/>
      <c r="T11" s="47"/>
      <c r="U11" s="47"/>
      <c r="V11" s="47"/>
      <c r="W11" s="47"/>
      <c r="X11" s="47"/>
      <c r="Y11" s="47"/>
      <c r="Z11" s="47"/>
      <c r="AA11" s="47"/>
      <c r="AB11" s="47"/>
      <c r="AC11" s="47"/>
      <c r="AD11" s="47"/>
      <c r="AE11" s="47"/>
      <c r="AF11" s="47"/>
      <c r="AG11" s="47"/>
      <c r="AH11" s="47"/>
      <c r="AI11" s="47"/>
      <c r="AJ11" s="47"/>
      <c r="AK11" s="47"/>
      <c r="AL11" s="47"/>
      <c r="AM11" s="47"/>
      <c r="AN11" s="47"/>
      <c r="AO11" s="47"/>
      <c r="AP11" s="47"/>
      <c r="AQ11" s="47"/>
      <c r="AR11" s="47"/>
      <c r="AS11" s="47"/>
      <c r="AT11" s="47"/>
      <c r="AU11" s="47"/>
      <c r="AV11" s="47"/>
      <c r="AW11" s="47"/>
      <c r="AX11" s="47"/>
      <c r="AY11" s="47"/>
      <c r="AZ11" s="47"/>
      <c r="BA11" s="47"/>
      <c r="BB11" s="47"/>
      <c r="BC11" s="47"/>
      <c r="BD11" s="47"/>
      <c r="BE11" s="47"/>
      <c r="BF11" s="47"/>
      <c r="BG11" s="47"/>
      <c r="BH11" s="47"/>
      <c r="BI11" s="47"/>
      <c r="BJ11" s="47"/>
      <c r="BK11" s="47"/>
      <c r="BL11" s="47"/>
      <c r="BM11" s="47"/>
      <c r="BN11" s="47"/>
    </row>
    <row r="12" spans="1:66" s="31" customFormat="1" ht="17.5" x14ac:dyDescent="0.25">
      <c r="A12" s="47" t="str">
        <f t="shared" si="5"/>
        <v>1.4</v>
      </c>
      <c r="B12" s="31" t="s">
        <v>31</v>
      </c>
      <c r="C12" s="31" t="s">
        <v>12</v>
      </c>
      <c r="D12" s="48"/>
      <c r="E12" s="49">
        <v>46124</v>
      </c>
      <c r="F12" s="50">
        <f t="shared" ref="F12" si="7">IF(ISBLANK(E12)," - ",IF(G12=0,E12,E12+G12-1))</f>
        <v>46125</v>
      </c>
      <c r="G12" s="51">
        <v>2</v>
      </c>
      <c r="H12" s="52">
        <v>0</v>
      </c>
      <c r="I12" s="53">
        <f t="shared" si="4"/>
        <v>1</v>
      </c>
      <c r="J12" s="54"/>
      <c r="K12" s="47"/>
      <c r="L12" s="47"/>
      <c r="M12" s="55"/>
      <c r="N12" s="47"/>
      <c r="O12" s="47"/>
      <c r="P12" s="47"/>
      <c r="Q12" s="47"/>
      <c r="R12" s="47"/>
      <c r="S12" s="47"/>
      <c r="T12" s="47"/>
      <c r="U12" s="47"/>
      <c r="V12" s="47"/>
      <c r="W12" s="47"/>
      <c r="X12" s="47"/>
      <c r="Y12" s="47"/>
      <c r="Z12" s="47"/>
      <c r="AA12" s="47"/>
      <c r="AB12" s="47"/>
      <c r="AC12" s="47"/>
      <c r="AD12" s="47"/>
      <c r="AE12" s="47"/>
      <c r="AF12" s="47"/>
      <c r="AG12" s="47"/>
      <c r="AH12" s="47"/>
      <c r="AI12" s="47"/>
      <c r="AJ12" s="47"/>
      <c r="AK12" s="47"/>
      <c r="AL12" s="47"/>
      <c r="AM12" s="47"/>
      <c r="AN12" s="47"/>
      <c r="AO12" s="47"/>
      <c r="AP12" s="47"/>
      <c r="AQ12" s="47"/>
      <c r="AR12" s="47"/>
      <c r="AS12" s="47"/>
      <c r="AT12" s="47"/>
      <c r="AU12" s="47"/>
      <c r="AV12" s="47"/>
      <c r="AW12" s="47"/>
      <c r="AX12" s="47"/>
      <c r="AY12" s="47"/>
      <c r="AZ12" s="47"/>
      <c r="BA12" s="47"/>
      <c r="BB12" s="47"/>
      <c r="BC12" s="47"/>
      <c r="BD12" s="47"/>
      <c r="BE12" s="47"/>
      <c r="BF12" s="47"/>
      <c r="BG12" s="47"/>
      <c r="BH12" s="47"/>
      <c r="BI12" s="47"/>
      <c r="BJ12" s="47"/>
      <c r="BK12" s="47"/>
      <c r="BL12" s="47"/>
      <c r="BM12" s="47"/>
      <c r="BN12" s="47"/>
    </row>
    <row r="13" spans="1:66" s="31" customFormat="1" ht="17.5" x14ac:dyDescent="0.25">
      <c r="A13" s="47" t="str">
        <f t="shared" si="5"/>
        <v>1.5</v>
      </c>
      <c r="B13" s="31" t="s">
        <v>30</v>
      </c>
      <c r="C13" s="31" t="s">
        <v>12</v>
      </c>
      <c r="D13" s="48"/>
      <c r="E13" s="49">
        <v>46125</v>
      </c>
      <c r="F13" s="50">
        <v>46125</v>
      </c>
      <c r="G13" s="51">
        <v>2</v>
      </c>
      <c r="H13" s="52">
        <v>0</v>
      </c>
      <c r="I13" s="53">
        <f t="shared" si="4"/>
        <v>1</v>
      </c>
      <c r="J13" s="54"/>
      <c r="K13" s="47"/>
      <c r="L13" s="47"/>
      <c r="M13" s="47"/>
      <c r="N13" s="47"/>
      <c r="O13" s="47"/>
      <c r="P13" s="47"/>
      <c r="Q13" s="47"/>
      <c r="R13" s="47"/>
      <c r="S13" s="47"/>
      <c r="T13" s="47"/>
      <c r="U13" s="47"/>
      <c r="V13" s="47"/>
      <c r="W13" s="47"/>
      <c r="X13" s="47"/>
      <c r="Y13" s="47"/>
      <c r="Z13" s="47"/>
      <c r="AA13" s="47"/>
      <c r="AB13" s="47"/>
      <c r="AC13" s="47"/>
      <c r="AD13" s="47"/>
      <c r="AE13" s="47"/>
      <c r="AF13" s="47"/>
      <c r="AG13" s="47"/>
      <c r="AH13" s="47"/>
      <c r="AI13" s="47"/>
      <c r="AJ13" s="47"/>
      <c r="AK13" s="47"/>
      <c r="AL13" s="47"/>
      <c r="AM13" s="47"/>
      <c r="AN13" s="47"/>
      <c r="AO13" s="47"/>
      <c r="AP13" s="47"/>
      <c r="AQ13" s="47"/>
      <c r="AR13" s="47"/>
      <c r="AS13" s="47"/>
      <c r="AT13" s="47"/>
      <c r="AU13" s="47"/>
      <c r="AV13" s="47"/>
      <c r="AW13" s="47"/>
      <c r="AX13" s="47"/>
      <c r="AY13" s="47"/>
      <c r="AZ13" s="47"/>
      <c r="BA13" s="47"/>
      <c r="BB13" s="47"/>
      <c r="BC13" s="47"/>
      <c r="BD13" s="47"/>
      <c r="BE13" s="47"/>
      <c r="BF13" s="47"/>
      <c r="BG13" s="47"/>
      <c r="BH13" s="47"/>
      <c r="BI13" s="47"/>
      <c r="BJ13" s="47"/>
      <c r="BK13" s="47"/>
      <c r="BL13" s="47"/>
      <c r="BM13" s="47"/>
      <c r="BN13" s="47"/>
    </row>
    <row r="14" spans="1:66" s="46" customFormat="1" ht="28" x14ac:dyDescent="0.25">
      <c r="A14" s="56" t="str">
        <f>IF(ISERROR(VALUE(SUBSTITUTE(prevWBS,".",""))),"1",IF(ISERROR(FIND("`",SUBSTITUTE(prevWBS,".","`",1))),TEXT(VALUE(prevWBS)+1,"#"),TEXT(VALUE(LEFT(prevWBS,FIND("`",SUBSTITUTE(prevWBS,".","`",1))-1))+1,"#")))</f>
        <v>2</v>
      </c>
      <c r="B14" s="57" t="s">
        <v>21</v>
      </c>
      <c r="D14" s="58"/>
      <c r="E14" s="59"/>
      <c r="F14" s="59" t="str">
        <f t="shared" si="6"/>
        <v xml:space="preserve"> - </v>
      </c>
      <c r="G14" s="60"/>
      <c r="H14" s="61"/>
      <c r="I14" s="62" t="str">
        <f t="shared" si="4"/>
        <v xml:space="preserve"> - </v>
      </c>
      <c r="J14" s="63"/>
      <c r="K14" s="64"/>
      <c r="L14" s="64"/>
      <c r="M14" s="64"/>
      <c r="N14" s="64"/>
      <c r="O14" s="64"/>
      <c r="P14" s="64"/>
      <c r="Q14" s="64"/>
      <c r="R14" s="64"/>
      <c r="S14" s="64"/>
      <c r="T14" s="64"/>
      <c r="U14" s="64"/>
      <c r="V14" s="64"/>
      <c r="W14" s="64"/>
      <c r="X14" s="64"/>
      <c r="Y14" s="64"/>
      <c r="Z14" s="64"/>
      <c r="AA14" s="64"/>
      <c r="AB14" s="64"/>
      <c r="AC14" s="64"/>
      <c r="AD14" s="64"/>
      <c r="AE14" s="64"/>
      <c r="AF14" s="64"/>
      <c r="AG14" s="64"/>
      <c r="AH14" s="64"/>
      <c r="AI14" s="64"/>
      <c r="AJ14" s="64"/>
      <c r="AK14" s="64"/>
      <c r="AL14" s="64"/>
      <c r="AM14" s="64"/>
      <c r="AN14" s="64"/>
      <c r="AO14" s="64"/>
      <c r="AP14" s="64"/>
      <c r="AQ14" s="64"/>
      <c r="AR14" s="64"/>
      <c r="AS14" s="64"/>
      <c r="AT14" s="64"/>
      <c r="AU14" s="64"/>
      <c r="AV14" s="64"/>
      <c r="AW14" s="64"/>
      <c r="AX14" s="64"/>
      <c r="AY14" s="64"/>
      <c r="AZ14" s="64"/>
      <c r="BA14" s="64"/>
      <c r="BB14" s="64"/>
      <c r="BC14" s="64"/>
      <c r="BD14" s="64"/>
      <c r="BE14" s="64"/>
      <c r="BF14" s="64"/>
      <c r="BG14" s="64"/>
      <c r="BH14" s="64"/>
      <c r="BI14" s="64"/>
      <c r="BJ14" s="64"/>
      <c r="BK14" s="64"/>
      <c r="BL14" s="64"/>
      <c r="BM14" s="64"/>
      <c r="BN14" s="64"/>
    </row>
    <row r="15" spans="1:66" s="31" customFormat="1" ht="17.5" x14ac:dyDescent="0.25">
      <c r="A15" s="47" t="str">
        <f t="shared" ref="A15:A20" si="8">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5" s="31" t="s">
        <v>16</v>
      </c>
      <c r="C15" s="31" t="s">
        <v>12</v>
      </c>
      <c r="D15" s="48"/>
      <c r="E15" s="49">
        <v>46126</v>
      </c>
      <c r="F15" s="50">
        <v>46126</v>
      </c>
      <c r="G15" s="51">
        <v>2</v>
      </c>
      <c r="H15" s="52">
        <v>0</v>
      </c>
      <c r="I15" s="53">
        <v>2</v>
      </c>
      <c r="J15" s="54"/>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row>
    <row r="16" spans="1:66" s="31" customFormat="1" ht="17.5" x14ac:dyDescent="0.25">
      <c r="A16" s="47" t="str">
        <f t="shared" si="8"/>
        <v>2.2</v>
      </c>
      <c r="B16" s="31" t="s">
        <v>25</v>
      </c>
      <c r="C16" s="31" t="s">
        <v>12</v>
      </c>
      <c r="D16" s="48"/>
      <c r="E16" s="49">
        <v>46126</v>
      </c>
      <c r="F16" s="50">
        <f t="shared" si="6"/>
        <v>46127</v>
      </c>
      <c r="G16" s="51">
        <v>2</v>
      </c>
      <c r="H16" s="52">
        <v>0</v>
      </c>
      <c r="I16" s="53">
        <v>2</v>
      </c>
      <c r="J16" s="54"/>
      <c r="K16" s="47"/>
      <c r="L16" s="47"/>
      <c r="M16" s="47"/>
      <c r="N16" s="47"/>
      <c r="O16" s="47"/>
      <c r="P16" s="47"/>
      <c r="Q16" s="47"/>
      <c r="R16" s="47"/>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7"/>
      <c r="AX16" s="47"/>
      <c r="AY16" s="47"/>
      <c r="AZ16" s="47"/>
      <c r="BA16" s="47"/>
      <c r="BB16" s="47"/>
      <c r="BC16" s="47"/>
      <c r="BD16" s="47"/>
      <c r="BE16" s="47"/>
      <c r="BF16" s="47"/>
      <c r="BG16" s="47"/>
      <c r="BH16" s="47"/>
      <c r="BI16" s="47"/>
      <c r="BJ16" s="47"/>
      <c r="BK16" s="47"/>
      <c r="BL16" s="47"/>
      <c r="BM16" s="47"/>
      <c r="BN16" s="47"/>
    </row>
    <row r="17" spans="1:87" s="31" customFormat="1" ht="23" x14ac:dyDescent="0.25">
      <c r="A17" s="47" t="str">
        <f t="shared" si="8"/>
        <v>2.3</v>
      </c>
      <c r="B17" s="31" t="s">
        <v>28</v>
      </c>
      <c r="C17" s="31" t="s">
        <v>12</v>
      </c>
      <c r="D17" s="48"/>
      <c r="E17" s="49">
        <v>46127</v>
      </c>
      <c r="F17" s="50">
        <f>IF(ISBLANK(E17)," - ",IF(G17=0,E17,E17+G17-1))</f>
        <v>46128</v>
      </c>
      <c r="G17" s="51">
        <v>2</v>
      </c>
      <c r="H17" s="52">
        <v>0</v>
      </c>
      <c r="I17" s="53">
        <v>2</v>
      </c>
      <c r="J17" s="54"/>
      <c r="K17" s="47"/>
      <c r="L17" s="47"/>
      <c r="M17" s="47"/>
      <c r="N17" s="47"/>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47"/>
      <c r="BB17" s="47"/>
      <c r="BC17" s="47"/>
      <c r="BD17" s="47"/>
      <c r="BE17" s="47"/>
      <c r="BF17" s="47"/>
      <c r="BG17" s="47"/>
      <c r="BH17" s="47"/>
      <c r="BI17" s="47"/>
      <c r="BJ17" s="47"/>
      <c r="BK17" s="47"/>
      <c r="BL17" s="47"/>
      <c r="BM17" s="47"/>
      <c r="BN17" s="47"/>
    </row>
    <row r="18" spans="1:87" s="31" customFormat="1" ht="23" x14ac:dyDescent="0.25">
      <c r="A18" s="47" t="str">
        <f t="shared" si="8"/>
        <v>2.4</v>
      </c>
      <c r="B18" s="31" t="s">
        <v>32</v>
      </c>
      <c r="C18" s="31" t="s">
        <v>12</v>
      </c>
      <c r="D18" s="48"/>
      <c r="E18" s="49">
        <v>46128</v>
      </c>
      <c r="F18" s="50">
        <f t="shared" si="6"/>
        <v>46128</v>
      </c>
      <c r="G18" s="51">
        <v>1</v>
      </c>
      <c r="H18" s="52">
        <v>0</v>
      </c>
      <c r="I18" s="53">
        <v>1</v>
      </c>
      <c r="J18" s="54"/>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c r="BA18" s="47"/>
      <c r="BB18" s="47"/>
      <c r="BC18" s="47"/>
      <c r="BD18" s="47"/>
      <c r="BE18" s="47"/>
      <c r="BF18" s="47"/>
      <c r="BG18" s="47"/>
      <c r="BH18" s="47"/>
      <c r="BI18" s="47"/>
      <c r="BJ18" s="47"/>
      <c r="BK18" s="47"/>
      <c r="BL18" s="47"/>
      <c r="BM18" s="47"/>
      <c r="BN18" s="47"/>
    </row>
    <row r="19" spans="1:87" s="31" customFormat="1" ht="23" x14ac:dyDescent="0.25">
      <c r="A19" s="47" t="str">
        <f t="shared" si="8"/>
        <v>2.5</v>
      </c>
      <c r="B19" s="31" t="s">
        <v>26</v>
      </c>
      <c r="C19" s="31" t="s">
        <v>12</v>
      </c>
      <c r="D19" s="48"/>
      <c r="E19" s="49">
        <v>46128</v>
      </c>
      <c r="F19" s="50">
        <f t="shared" ref="F19" si="9">IF(ISBLANK(E19)," - ",IF(G19=0,E19,E19+G19-1))</f>
        <v>46130</v>
      </c>
      <c r="G19" s="51">
        <v>3</v>
      </c>
      <c r="H19" s="52">
        <v>0</v>
      </c>
      <c r="I19" s="53">
        <v>3</v>
      </c>
      <c r="J19" s="54"/>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c r="AZ19" s="47"/>
      <c r="BA19" s="47"/>
      <c r="BB19" s="47"/>
      <c r="BC19" s="47"/>
      <c r="BD19" s="47"/>
      <c r="BE19" s="47"/>
      <c r="BF19" s="47"/>
      <c r="BG19" s="47"/>
      <c r="BH19" s="47"/>
      <c r="BI19" s="47"/>
      <c r="BJ19" s="47"/>
      <c r="BK19" s="47"/>
      <c r="BL19" s="47"/>
      <c r="BM19" s="47"/>
      <c r="BN19" s="47"/>
    </row>
    <row r="20" spans="1:87" s="31" customFormat="1" ht="23" x14ac:dyDescent="0.25">
      <c r="A20" s="47" t="str">
        <f t="shared" si="8"/>
        <v>2.6</v>
      </c>
      <c r="B20" s="31" t="s">
        <v>13</v>
      </c>
      <c r="C20" s="31" t="s">
        <v>12</v>
      </c>
      <c r="D20" s="48"/>
      <c r="E20" s="49">
        <v>46130</v>
      </c>
      <c r="F20" s="50">
        <v>46131</v>
      </c>
      <c r="G20" s="51">
        <v>2</v>
      </c>
      <c r="H20" s="52">
        <v>0</v>
      </c>
      <c r="I20" s="53">
        <v>2</v>
      </c>
      <c r="J20" s="54"/>
      <c r="K20" s="47"/>
      <c r="M20" s="47"/>
      <c r="N20" s="47"/>
      <c r="O20" s="47"/>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7"/>
      <c r="AX20" s="47"/>
      <c r="AY20" s="47"/>
      <c r="AZ20" s="47"/>
      <c r="BA20" s="47"/>
      <c r="BB20" s="47"/>
      <c r="BC20" s="47"/>
      <c r="BD20" s="47"/>
      <c r="BE20" s="47"/>
      <c r="BF20" s="47"/>
      <c r="BG20" s="47"/>
      <c r="BH20" s="47"/>
      <c r="BI20" s="47"/>
      <c r="BJ20" s="47"/>
      <c r="BK20" s="47"/>
      <c r="BL20" s="47"/>
      <c r="BM20" s="47"/>
      <c r="BN20" s="47"/>
    </row>
    <row r="21" spans="1:87" s="46" customFormat="1" ht="30.5" customHeight="1" x14ac:dyDescent="0.25">
      <c r="A21" s="56" t="str">
        <f>IF(ISERROR(VALUE(SUBSTITUTE(prevWBS,".",""))),"1",IF(ISERROR(FIND("`",SUBSTITUTE(prevWBS,".","`",1))),TEXT(VALUE(prevWBS)+1,"#"),TEXT(VALUE(LEFT(prevWBS,FIND("`",SUBSTITUTE(prevWBS,".","`",1))-1))+1,"#")))</f>
        <v>3</v>
      </c>
      <c r="B21" s="57" t="s">
        <v>22</v>
      </c>
      <c r="D21" s="58"/>
      <c r="E21" s="59"/>
      <c r="F21" s="59" t="str">
        <f t="shared" si="6"/>
        <v xml:space="preserve"> - </v>
      </c>
      <c r="G21" s="60"/>
      <c r="H21" s="61"/>
      <c r="I21" s="62" t="str">
        <f t="shared" si="4"/>
        <v xml:space="preserve"> - </v>
      </c>
      <c r="J21" s="19"/>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10"/>
      <c r="BP21" s="10"/>
      <c r="BQ21" s="10"/>
      <c r="BR21" s="10"/>
      <c r="BS21" s="10"/>
      <c r="BT21" s="10"/>
      <c r="BU21" s="10"/>
      <c r="BV21" s="10"/>
      <c r="BW21" s="10"/>
      <c r="BX21" s="10"/>
      <c r="BY21" s="10"/>
      <c r="BZ21" s="10"/>
      <c r="CA21" s="10"/>
      <c r="CB21" s="10"/>
      <c r="CC21" s="10"/>
      <c r="CD21" s="10"/>
      <c r="CE21" s="10"/>
      <c r="CF21" s="10"/>
      <c r="CG21" s="10"/>
      <c r="CH21" s="10"/>
      <c r="CI21" s="10"/>
    </row>
    <row r="22" spans="1:87" s="31" customFormat="1" ht="11.5" x14ac:dyDescent="0.25">
      <c r="A22" s="4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22" s="31" t="s">
        <v>17</v>
      </c>
      <c r="C22" s="31" t="s">
        <v>12</v>
      </c>
      <c r="D22" s="48"/>
      <c r="E22" s="49">
        <v>46130</v>
      </c>
      <c r="F22" s="50">
        <f>IF(ISBLANK(E22)," - ",IF(G22=0,E22,E22+G22-1))</f>
        <v>46132</v>
      </c>
      <c r="G22" s="51">
        <v>3</v>
      </c>
      <c r="H22" s="52">
        <v>0</v>
      </c>
      <c r="I22" s="53">
        <v>3</v>
      </c>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2"/>
      <c r="BO22" s="12"/>
      <c r="BP22" s="12"/>
      <c r="BQ22" s="12"/>
      <c r="BR22" s="12"/>
      <c r="BS22" s="12"/>
      <c r="BT22" s="12"/>
      <c r="BU22" s="12"/>
      <c r="BV22" s="12"/>
      <c r="BW22" s="12"/>
      <c r="BX22" s="12"/>
      <c r="BY22" s="12"/>
      <c r="BZ22" s="12"/>
      <c r="CA22" s="12"/>
      <c r="CB22" s="12"/>
      <c r="CC22" s="12"/>
      <c r="CD22" s="12"/>
      <c r="CE22" s="12"/>
      <c r="CF22" s="12"/>
      <c r="CG22" s="12"/>
      <c r="CH22" s="12"/>
    </row>
    <row r="23" spans="1:87" s="31" customFormat="1" ht="17.5" x14ac:dyDescent="0.25">
      <c r="A23" s="4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3.2</v>
      </c>
      <c r="B23" s="31" t="s">
        <v>18</v>
      </c>
      <c r="C23" s="31" t="s">
        <v>12</v>
      </c>
      <c r="D23" s="48"/>
      <c r="E23" s="49">
        <v>46130</v>
      </c>
      <c r="F23" s="50">
        <v>46130</v>
      </c>
      <c r="G23" s="51">
        <v>2</v>
      </c>
      <c r="H23" s="52">
        <v>0</v>
      </c>
      <c r="I23" s="53">
        <f t="shared" si="4"/>
        <v>0</v>
      </c>
      <c r="J23" s="18"/>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2"/>
      <c r="BP23" s="12"/>
      <c r="BQ23" s="12"/>
      <c r="BR23" s="12"/>
      <c r="BS23" s="12"/>
      <c r="BT23" s="12"/>
      <c r="BU23" s="12"/>
      <c r="BV23" s="12"/>
      <c r="BW23" s="12"/>
      <c r="BX23" s="12"/>
      <c r="BY23" s="12"/>
      <c r="BZ23" s="12"/>
      <c r="CA23" s="12"/>
      <c r="CB23" s="12"/>
      <c r="CC23" s="12"/>
      <c r="CD23" s="12"/>
      <c r="CE23" s="12"/>
      <c r="CF23" s="12"/>
      <c r="CG23" s="12"/>
      <c r="CH23" s="12"/>
      <c r="CI23" s="12"/>
    </row>
    <row r="24" spans="1:87" s="31" customFormat="1" ht="17.5" x14ac:dyDescent="0.25">
      <c r="A24" s="4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3.3</v>
      </c>
      <c r="B24" s="31" t="s">
        <v>23</v>
      </c>
      <c r="C24" s="31" t="s">
        <v>12</v>
      </c>
      <c r="D24" s="48"/>
      <c r="E24" s="49">
        <v>46131</v>
      </c>
      <c r="F24" s="50">
        <f t="shared" ref="F24" si="10">IF(ISBLANK(E24)," - ",IF(G24=0,E24,E24+G24-1))</f>
        <v>46132</v>
      </c>
      <c r="G24" s="51">
        <v>2</v>
      </c>
      <c r="H24" s="52">
        <v>0</v>
      </c>
      <c r="I24" s="53">
        <v>3</v>
      </c>
      <c r="J24" s="18"/>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2"/>
      <c r="BP24" s="12"/>
      <c r="BQ24" s="12"/>
      <c r="BR24" s="12"/>
      <c r="BS24" s="12"/>
      <c r="BT24" s="12"/>
      <c r="BU24" s="12"/>
      <c r="BV24" s="12"/>
      <c r="BW24" s="12"/>
      <c r="BX24" s="12"/>
      <c r="BY24" s="12"/>
      <c r="BZ24" s="12"/>
      <c r="CA24" s="12"/>
      <c r="CB24" s="12"/>
      <c r="CC24" s="12"/>
      <c r="CD24" s="12"/>
      <c r="CE24" s="12"/>
      <c r="CF24" s="12"/>
      <c r="CG24" s="12"/>
      <c r="CH24" s="12"/>
      <c r="CI24" s="12"/>
    </row>
    <row r="25" spans="1:87" s="31" customFormat="1" ht="17.5" x14ac:dyDescent="0.25">
      <c r="A25" s="4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3.4</v>
      </c>
      <c r="B25" s="31" t="s">
        <v>19</v>
      </c>
      <c r="C25" s="31" t="s">
        <v>12</v>
      </c>
      <c r="D25" s="48"/>
      <c r="E25" s="49">
        <v>46131</v>
      </c>
      <c r="F25" s="50">
        <f t="shared" si="6"/>
        <v>46132</v>
      </c>
      <c r="G25" s="51">
        <v>2</v>
      </c>
      <c r="H25" s="52">
        <v>0</v>
      </c>
      <c r="I25" s="53">
        <v>2</v>
      </c>
      <c r="J25" s="18"/>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2"/>
      <c r="BP25" s="12"/>
      <c r="BQ25" s="12"/>
      <c r="BR25" s="12"/>
      <c r="BS25" s="12"/>
      <c r="BT25" s="12"/>
      <c r="BU25" s="12"/>
      <c r="BV25" s="12"/>
      <c r="BW25" s="12"/>
      <c r="BX25" s="12"/>
      <c r="BY25" s="12"/>
      <c r="BZ25" s="12"/>
      <c r="CA25" s="12"/>
      <c r="CB25" s="12"/>
      <c r="CC25" s="12"/>
      <c r="CD25" s="12"/>
      <c r="CE25" s="12"/>
      <c r="CF25" s="12"/>
      <c r="CG25" s="12"/>
      <c r="CH25" s="12"/>
      <c r="CI25" s="12"/>
    </row>
    <row r="26" spans="1:87" s="31" customFormat="1" ht="23" x14ac:dyDescent="0.25">
      <c r="A26" s="4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3.5</v>
      </c>
      <c r="B26" s="31" t="s">
        <v>27</v>
      </c>
      <c r="C26" s="31" t="s">
        <v>12</v>
      </c>
      <c r="D26" s="48"/>
      <c r="E26" s="49">
        <v>46132</v>
      </c>
      <c r="F26" s="50">
        <v>46133</v>
      </c>
      <c r="G26" s="51">
        <v>2</v>
      </c>
      <c r="H26" s="52">
        <v>0</v>
      </c>
      <c r="I26" s="53">
        <v>2</v>
      </c>
      <c r="J26" s="18"/>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2"/>
      <c r="BP26" s="12"/>
      <c r="BQ26" s="12"/>
      <c r="BR26" s="12"/>
      <c r="BS26" s="12"/>
      <c r="BT26" s="12"/>
      <c r="BU26" s="12"/>
      <c r="BV26" s="12"/>
      <c r="BW26" s="12"/>
      <c r="BX26" s="12"/>
      <c r="BY26" s="12"/>
      <c r="BZ26" s="12"/>
      <c r="CA26" s="12"/>
      <c r="CB26" s="12"/>
      <c r="CC26" s="12"/>
      <c r="CD26" s="12"/>
      <c r="CE26" s="12"/>
      <c r="CF26" s="12"/>
      <c r="CG26" s="12"/>
      <c r="CH26" s="12"/>
      <c r="CI26" s="12"/>
    </row>
    <row r="27" spans="1:87" s="31" customFormat="1" ht="17.5" x14ac:dyDescent="0.25">
      <c r="A27" s="4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3.6</v>
      </c>
      <c r="B27" s="31" t="s">
        <v>20</v>
      </c>
      <c r="C27" s="31" t="s">
        <v>12</v>
      </c>
      <c r="D27" s="48"/>
      <c r="E27" s="49">
        <v>46133</v>
      </c>
      <c r="F27" s="50">
        <v>46133</v>
      </c>
      <c r="G27" s="51">
        <v>1</v>
      </c>
      <c r="H27" s="52">
        <v>0</v>
      </c>
      <c r="I27" s="53">
        <v>1</v>
      </c>
      <c r="J27" s="18"/>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2"/>
      <c r="BP27" s="12"/>
      <c r="BQ27" s="12"/>
      <c r="BR27" s="12"/>
      <c r="BS27" s="12"/>
      <c r="BT27" s="12"/>
      <c r="BU27" s="12"/>
      <c r="BV27" s="12"/>
      <c r="BW27" s="12"/>
      <c r="BX27" s="12"/>
      <c r="BY27" s="12"/>
      <c r="BZ27" s="12"/>
      <c r="CA27" s="12"/>
      <c r="CB27" s="12"/>
      <c r="CC27" s="12"/>
      <c r="CD27" s="12"/>
      <c r="CE27" s="12"/>
      <c r="CF27" s="12"/>
      <c r="CG27" s="12"/>
      <c r="CH27" s="12"/>
      <c r="CI27" s="12"/>
    </row>
    <row r="28" spans="1:87" s="14" customFormat="1" x14ac:dyDescent="0.25">
      <c r="A28"/>
      <c r="B28"/>
      <c r="C28"/>
      <c r="D28"/>
      <c r="E28"/>
      <c r="F28"/>
      <c r="G28"/>
      <c r="H28"/>
      <c r="I28"/>
      <c r="J28"/>
      <c r="K28"/>
      <c r="L28"/>
      <c r="M28"/>
      <c r="N28"/>
      <c r="O28"/>
      <c r="P28"/>
      <c r="Q28"/>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row>
    <row r="29" spans="1:87" s="13" customFormat="1" x14ac:dyDescent="0.25">
      <c r="A29"/>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row>
    <row r="30" spans="1:87" s="13" customFormat="1" x14ac:dyDescent="0.25">
      <c r="A30"/>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row>
    <row r="31" spans="1:87" s="13" customFormat="1" x14ac:dyDescent="0.25">
      <c r="A31"/>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row>
    <row r="32" spans="1:87" s="13" customFormat="1" x14ac:dyDescent="0.25">
      <c r="A32"/>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row>
    <row r="33" spans="1:87" s="13" customFormat="1" x14ac:dyDescent="0.25">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row>
    <row r="34" spans="1:87" s="4" customFormat="1" x14ac:dyDescent="0.25">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row>
  </sheetData>
  <sheetProtection formatCells="0" formatColumns="0" formatRows="0" insertRows="0" deleteRows="0"/>
  <mergeCells count="19">
    <mergeCell ref="AF4:AL4"/>
    <mergeCell ref="AF5:AL5"/>
    <mergeCell ref="BH4:BN4"/>
    <mergeCell ref="BH5:BN5"/>
    <mergeCell ref="AM5:AS5"/>
    <mergeCell ref="AT4:AZ4"/>
    <mergeCell ref="AT5:AZ5"/>
    <mergeCell ref="AM4:AS4"/>
    <mergeCell ref="BA4:BG4"/>
    <mergeCell ref="BA5:BG5"/>
    <mergeCell ref="K1:AE1"/>
    <mergeCell ref="C5:E5"/>
    <mergeCell ref="R4:X4"/>
    <mergeCell ref="K4:Q4"/>
    <mergeCell ref="C4:E4"/>
    <mergeCell ref="R5:X5"/>
    <mergeCell ref="K5:Q5"/>
    <mergeCell ref="Y4:AE4"/>
    <mergeCell ref="Y5:AE5"/>
  </mergeCells>
  <phoneticPr fontId="3" type="noConversion"/>
  <conditionalFormatting sqref="H8:H27">
    <cfRule type="dataBar" priority="2">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K20">
    <cfRule type="expression" dxfId="9" priority="51">
      <formula>L$6=TODAY()</formula>
    </cfRule>
    <cfRule type="expression" dxfId="8" priority="54">
      <formula>AND($E20&lt;=L$6,ROUNDDOWN(($F20-$E20+1)*$H20,0)+$E20-1&gt;=L$6)</formula>
    </cfRule>
    <cfRule type="expression" dxfId="7" priority="55">
      <formula>AND(NOT(ISBLANK($E20)),$E20&lt;=L$6,$F20&gt;=L$6)</formula>
    </cfRule>
  </conditionalFormatting>
  <conditionalFormatting sqref="K6:BN7">
    <cfRule type="expression" dxfId="6" priority="45">
      <formula>K$6=TODAY()</formula>
    </cfRule>
  </conditionalFormatting>
  <conditionalFormatting sqref="M20:BN20 K6:BN19 K21:BN21 K23:BN27">
    <cfRule type="expression" dxfId="5" priority="8">
      <formula>K$6=TODAY()</formula>
    </cfRule>
  </conditionalFormatting>
  <conditionalFormatting sqref="K8:BN19 M20:BN20 K21:BN21 K23:BN27">
    <cfRule type="expression" dxfId="4" priority="48">
      <formula>AND($E8&lt;=K$6,ROUNDDOWN(($F8-$E8+1)*$H8,0)+$E8-1&gt;=K$6)</formula>
    </cfRule>
    <cfRule type="expression" dxfId="3" priority="49">
      <formula>AND(NOT(ISBLANK($E8)),$E8&lt;=K$6,$F8&gt;=K$6)</formula>
    </cfRule>
  </conditionalFormatting>
  <conditionalFormatting sqref="J22:BM22">
    <cfRule type="expression" dxfId="2" priority="57">
      <formula>K$6=TODAY()</formula>
    </cfRule>
  </conditionalFormatting>
  <conditionalFormatting sqref="J22:BM22">
    <cfRule type="expression" dxfId="1" priority="60">
      <formula>AND($E22&lt;=K$6,ROUNDDOWN(($F22-$E22+1)*$H22,0)+$E22-1&gt;=K$6)</formula>
    </cfRule>
    <cfRule type="expression" dxfId="0" priority="61">
      <formula>AND(NOT(ISBLANK($E22)),$E22&lt;=K$6,$F22&gt;=K$6)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xr:uid="{00000000-0002-0000-0000-000000000000}"/>
  </dataValidations>
  <pageMargins left="0.25" right="0.25" top="0.5" bottom="0.5" header="0.5" footer="0.25"/>
  <pageSetup scale="63" fitToHeight="0" orientation="landscape" r:id="rId1"/>
  <headerFooter alignWithMargins="0"/>
  <ignoredErrors>
    <ignoredError sqref="E14 E21 G14:H14 G21:H21 H18 H16 H17 H26 H22 H23 H25" unlockedFormula="1"/>
    <ignoredError sqref="A21 A14"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9</xdr:col>
                    <xdr:colOff>101600</xdr:colOff>
                    <xdr:row>1</xdr:row>
                    <xdr:rowOff>127000</xdr:rowOff>
                  </from>
                  <to>
                    <xdr:col>27</xdr:col>
                    <xdr:colOff>101600</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H8:H27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GanttChart</vt:lpstr>
      <vt:lpstr>GanttChart!prevWBS</vt:lpstr>
      <vt:lpstr>GanttChart!Print_Area</vt:lpstr>
      <vt:lpstr>GanttChart!Print_Titles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Aaron cardinale</dc:creator>
  <cp:keywords/>
  <dc:description/>
  <cp:lastModifiedBy>Aaron Cardinale</cp:lastModifiedBy>
  <cp:revision/>
  <cp:lastPrinted>2026-02-27T19:45:16Z</cp:lastPrinted>
  <dcterms:created xsi:type="dcterms:W3CDTF">2010-06-09T16:05:03Z</dcterms:created>
  <dcterms:modified xsi:type="dcterms:W3CDTF">2026-04-20T14:06:30Z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3.1.0</vt:lpwstr>
  </property>
  <property fmtid="{D5CDD505-2E9C-101B-9397-08002B2CF9AE}" pid="4" name="Source">
    <vt:lpwstr>https://www.vertex42.com/ExcelTemplates/excel-gantt-chart.html</vt:lpwstr>
  </property>
</Properties>
</file>